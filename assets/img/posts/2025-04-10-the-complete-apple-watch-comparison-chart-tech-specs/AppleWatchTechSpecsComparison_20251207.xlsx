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ise View" sheetId="1" r:id="rId4"/>
    <sheet state="visible" name="Full Detail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2">
      <text>
        <t xml:space="preserve">All blood oxygen processing is done on a paired iPhone
	-Matt Popovich</t>
      </text>
    </comment>
    <comment authorId="0" ref="D22">
      <text>
        <t xml:space="preserve">All blood oxygen analysis is performed on the watch.
	-Matt Popovich</t>
      </text>
    </comment>
    <comment authorId="0" ref="H22">
      <text>
        <t xml:space="preserve">For models of Apple Watch purchased in the United States on or after January 18, 2024 with part numbers ending in LW/A, the Blood Oxygen data analysis is performed on iPhone.
https://support.apple.com/en-us/120358
Series 9 purchased before that perform blood oxygen ananlysis on the watch itself.
	-Matt Popovich</t>
      </text>
    </comment>
    <comment authorId="0" ref="G22">
      <text>
        <t xml:space="preserve">All blood oxygen processing is done on a paired iPhone
	-Matt Popovich</t>
      </text>
    </comment>
    <comment authorId="0" ref="A11">
      <text>
        <t xml:space="preserve">Apple stopped advertising "carbon neutral" in 2025 due to legal challenges.
	-Matt Popovich</t>
      </text>
    </comment>
    <comment authorId="0" ref="A3">
      <text>
        <t xml:space="preserve">What would have been watchOS 12 was named watchOS 26.
	-Matt Popovich</t>
      </text>
    </comment>
    <comment authorId="0" ref="G40">
      <text>
        <t xml:space="preserve">https://www.dcrainmaker.com/2024/09/apple-watch-ultra-2-vs-apple-watch-series-10-detailed-differences.html
	-Matt Popovich</t>
      </text>
    </comment>
    <comment authorId="0" ref="H40">
      <text>
        <t xml:space="preserve">"60% more transistors, 30% faster GPU": https://youtu.be/ZiP1l7jlIIA?t=557
https://www.reviewed.com/tech/features/apple-watch-s9-versus-apple-watch-s8
	-Matt Popovich</t>
      </text>
    </comment>
    <comment authorId="0" ref="D40">
      <text>
        <t xml:space="preserve">Same CPU as S7 and S6: https://www.macrumors.com/2022/09/12/apple-watch-s8-chip-features-same-cpu-as-s6-and-s7/
	-Matt Popovich</t>
      </text>
    </comment>
    <comment authorId="0" ref="C22">
      <text>
        <t xml:space="preserve">For models of Apple Watch purchased in the United States on or after January 18, 2024 with part numbers ending in LW/A, the Blood Oxygen data analysis is performed on iPhone.
https://support.apple.com/en-us/120358
Ultra 2's purchased before that perform blood oxygen ananlysis on the watch itself.
	-Matt Popovich</t>
      </text>
    </comment>
    <comment authorId="0" ref="R63">
      <text>
        <t xml:space="preserve">LTE: 16GB, GPS: 8GB
	-Matt Popovich</t>
      </text>
    </comment>
  </commentList>
</comments>
</file>

<file path=xl/sharedStrings.xml><?xml version="1.0" encoding="utf-8"?>
<sst xmlns="http://schemas.openxmlformats.org/spreadsheetml/2006/main" count="596" uniqueCount="178">
  <si>
    <t>Watch Name (⭐️ denotes recommendation)</t>
  </si>
  <si>
    <r>
      <rPr>
        <b/>
        <color rgb="FF1155CC"/>
        <u/>
      </rPr>
      <t>Apple Watch Ultra 3</t>
    </r>
    <r>
      <rPr>
        <b/>
        <color rgb="FF000000"/>
      </rPr>
      <t xml:space="preserve"> ⭐️</t>
    </r>
  </si>
  <si>
    <r>
      <rPr>
        <b/>
        <color rgb="FF1155CC"/>
        <u/>
      </rPr>
      <t>Apple Watch Ultra 2</t>
    </r>
    <r>
      <rPr>
        <b/>
        <color rgb="FF000000"/>
      </rPr>
      <t xml:space="preserve"> ⭐️</t>
    </r>
  </si>
  <si>
    <t>Apple Watch Ultra 1</t>
  </si>
  <si>
    <r>
      <rPr>
        <b/>
        <color rgb="FF1155CC"/>
        <u/>
      </rPr>
      <t>Apple Watch Series 11</t>
    </r>
    <r>
      <rPr>
        <b/>
        <color rgb="FF000000"/>
      </rPr>
      <t xml:space="preserve"> ⭐️</t>
    </r>
  </si>
  <si>
    <r>
      <rPr>
        <b/>
        <color rgb="FF1155CC"/>
        <u/>
      </rPr>
      <t>Apple Watch Series 10</t>
    </r>
    <r>
      <rPr>
        <b/>
        <color rgb="FF000000"/>
      </rPr>
      <t xml:space="preserve"> ⭐️</t>
    </r>
  </si>
  <si>
    <r>
      <rPr>
        <b/>
        <color rgb="FF1155CC"/>
        <u/>
      </rPr>
      <t>Apple Watch Series 9</t>
    </r>
    <r>
      <rPr>
        <b/>
        <color rgb="FF000000"/>
      </rPr>
      <t xml:space="preserve"> ⭐️</t>
    </r>
  </si>
  <si>
    <r>
      <rPr>
        <b/>
        <color rgb="FF1155CC"/>
        <u/>
      </rPr>
      <t>Apple Watch SE (3rd gen)</t>
    </r>
    <r>
      <rPr>
        <b/>
        <color rgb="FF000000"/>
      </rPr>
      <t xml:space="preserve"> ⭐️</t>
    </r>
  </si>
  <si>
    <t>Apple Watch Series 8</t>
  </si>
  <si>
    <t>Apple Watch Series 7</t>
  </si>
  <si>
    <t>Apple Watch Series 6</t>
  </si>
  <si>
    <t>Apple Watch SE (2nd Gen)</t>
  </si>
  <si>
    <t>Apple Watch Series 5</t>
  </si>
  <si>
    <t>Apple Watch Series 4</t>
  </si>
  <si>
    <t>Apple Watch SE (1st Gen)</t>
  </si>
  <si>
    <t>Apple Watch Series 3</t>
  </si>
  <si>
    <t>Apple Watch Series 2</t>
  </si>
  <si>
    <t>Apple Watch Series 1</t>
  </si>
  <si>
    <t>Apple Watch 1st Gen</t>
  </si>
  <si>
    <t>Release Date</t>
  </si>
  <si>
    <t>Latest OS</t>
  </si>
  <si>
    <t>Max case (mm)</t>
  </si>
  <si>
    <t>Min case (mm)</t>
  </si>
  <si>
    <t>Max number of pixels</t>
  </si>
  <si>
    <t>Min number of pixels</t>
  </si>
  <si>
    <t>Max display area (sq mm)</t>
  </si>
  <si>
    <t>Min display area (sq mm)</t>
  </si>
  <si>
    <t>Case Material</t>
  </si>
  <si>
    <t>titanium</t>
  </si>
  <si>
    <t>aluminum, titanium</t>
  </si>
  <si>
    <t>aluminum</t>
  </si>
  <si>
    <t>aluminum, stainless steel</t>
  </si>
  <si>
    <t>aluminum, stainless steel, titanium</t>
  </si>
  <si>
    <t>aluminum, stainless steel, titanium, ceramic</t>
  </si>
  <si>
    <t>aluminum, stainless steel, ceramic</t>
  </si>
  <si>
    <t>Carbon neutral options available</t>
  </si>
  <si>
    <t>N/A</t>
  </si>
  <si>
    <t>Screen Type</t>
  </si>
  <si>
    <t>LTPO3 OLED Retina</t>
  </si>
  <si>
    <t>LTPO2 OLED Retina</t>
  </si>
  <si>
    <t>LTPO OLED Retina</t>
  </si>
  <si>
    <t>OLED Retina</t>
  </si>
  <si>
    <t>Always-on Screen</t>
  </si>
  <si>
    <t>Wide-angle Screen</t>
  </si>
  <si>
    <t>Max Screen Brightness (nits)</t>
  </si>
  <si>
    <t>Min Screen Brightness (nits)</t>
  </si>
  <si>
    <t>Display</t>
  </si>
  <si>
    <t>Flat sapphire crystal display</t>
  </si>
  <si>
    <t>Ion-X on aluminum cases, sapphire front crystal on titanium+ cases</t>
  </si>
  <si>
    <t>Ion-X</t>
  </si>
  <si>
    <t>Ion-X on aluminum cases, sapphire front crystal on stainless steel+ cases</t>
  </si>
  <si>
    <t>ECG</t>
  </si>
  <si>
    <t>High and Low heart rate notifications</t>
  </si>
  <si>
    <t>Irregular rhythm notifications</t>
  </si>
  <si>
    <t>Low cardio fitness notifications</t>
  </si>
  <si>
    <t>Blood Oxygen</t>
  </si>
  <si>
    <t>Sleep tracking</t>
  </si>
  <si>
    <t>Sleep apnea notifications</t>
  </si>
  <si>
    <t>Vitals app</t>
  </si>
  <si>
    <t>Temperature sensing</t>
  </si>
  <si>
    <t>&lt;-</t>
  </si>
  <si>
    <t>--&gt;</t>
  </si>
  <si>
    <t>Cycle tracking</t>
  </si>
  <si>
    <t>Fall detection</t>
  </si>
  <si>
    <t>Crash detection</t>
  </si>
  <si>
    <t>U</t>
  </si>
  <si>
    <t>No</t>
  </si>
  <si>
    <t>Water Resistance (m)</t>
  </si>
  <si>
    <t>L</t>
  </si>
  <si>
    <t>More</t>
  </si>
  <si>
    <t>Depth gauge (m)</t>
  </si>
  <si>
    <t>T</t>
  </si>
  <si>
    <t>Software</t>
  </si>
  <si>
    <t>Water temperature sensor</t>
  </si>
  <si>
    <t>R</t>
  </si>
  <si>
    <t>Updates</t>
  </si>
  <si>
    <t>High-speed water sports</t>
  </si>
  <si>
    <t>A</t>
  </si>
  <si>
    <t>Double tap gesture</t>
  </si>
  <si>
    <t>Dust Resistance (IP#X)</t>
  </si>
  <si>
    <t>Certification</t>
  </si>
  <si>
    <t>EN13319</t>
  </si>
  <si>
    <t>MIL-STD</t>
  </si>
  <si>
    <t>810H</t>
  </si>
  <si>
    <t>Cellular Capability</t>
  </si>
  <si>
    <t>GPS + Cellular</t>
  </si>
  <si>
    <t>GPS or GPS + Cellular</t>
  </si>
  <si>
    <t>Processor (S# SiP)</t>
  </si>
  <si>
    <t>Processor Performance (Est.)</t>
  </si>
  <si>
    <t>Processor Architecture (bits)</t>
  </si>
  <si>
    <t>Processor Cores</t>
  </si>
  <si>
    <t>On-device Siri</t>
  </si>
  <si>
    <t>Battery Life (hr)</t>
  </si>
  <si>
    <t>Low power mode battery life (hr)</t>
  </si>
  <si>
    <t>Fast Charging (0-80%) (min)</t>
  </si>
  <si>
    <t>Aluminum Case</t>
  </si>
  <si>
    <t>jet black, rose gold, silver, space gray</t>
  </si>
  <si>
    <t>jet black, rose gold, silver</t>
  </si>
  <si>
    <t>midnight, starlight, silver, red, pink</t>
  </si>
  <si>
    <t>midnight, starlight</t>
  </si>
  <si>
    <t>midnight, starlight, silver, red</t>
  </si>
  <si>
    <t>midnight, starlight, green, blue, red</t>
  </si>
  <si>
    <t>space gray, silver, gold, blue, red</t>
  </si>
  <si>
    <t>midnight, starlight, silver</t>
  </si>
  <si>
    <t>space gray, silver, gold</t>
  </si>
  <si>
    <t>space gray, silver, rose gold, gold</t>
  </si>
  <si>
    <t>Stainless Steel Case</t>
  </si>
  <si>
    <t>graphite, silver, gold</t>
  </si>
  <si>
    <t>space black, gold, silver</t>
  </si>
  <si>
    <t>space black, silver</t>
  </si>
  <si>
    <t>Ceramic Case</t>
  </si>
  <si>
    <t>white</t>
  </si>
  <si>
    <t>white or grey</t>
  </si>
  <si>
    <t>White</t>
  </si>
  <si>
    <t>Titanium Case</t>
  </si>
  <si>
    <t>black, natural</t>
  </si>
  <si>
    <t>natural</t>
  </si>
  <si>
    <t>slate, gold, natural, silver</t>
  </si>
  <si>
    <t>space black, titanium</t>
  </si>
  <si>
    <t>18k Gold Case</t>
  </si>
  <si>
    <t>Hermes</t>
  </si>
  <si>
    <t>Back</t>
  </si>
  <si>
    <t>Ceramic and sapphire crystal</t>
  </si>
  <si>
    <t>Metal and sapphire crystal back</t>
  </si>
  <si>
    <t>Nylon composite and sapphire crystal</t>
  </si>
  <si>
    <t>LTE: Ceramic and sapphire crystal. GPS: Composite</t>
  </si>
  <si>
    <t>Optical Heart Sensor Generation</t>
  </si>
  <si>
    <t>Action button</t>
  </si>
  <si>
    <t>Satellite Connectivity</t>
  </si>
  <si>
    <t>5G</t>
  </si>
  <si>
    <t>4G (LTE)</t>
  </si>
  <si>
    <t>3G (UMTS)</t>
  </si>
  <si>
    <t>Speakers</t>
  </si>
  <si>
    <t>Media Playback</t>
  </si>
  <si>
    <t>Microphone</t>
  </si>
  <si>
    <t>3 with beamforming</t>
  </si>
  <si>
    <t>1 with Voice Isolation</t>
  </si>
  <si>
    <t>Capacity (GB)</t>
  </si>
  <si>
    <t>Gyroscope</t>
  </si>
  <si>
    <t>HDR</t>
  </si>
  <si>
    <t>Yes</t>
  </si>
  <si>
    <t>Neural Engine Cores</t>
  </si>
  <si>
    <t>Wi-Fi (4 = 802.11n)</t>
  </si>
  <si>
    <t>Wireless (W)</t>
  </si>
  <si>
    <t>Ultra Wideband Chip Gen (U#)</t>
  </si>
  <si>
    <t>Bluetooth</t>
  </si>
  <si>
    <t>L5 GPS</t>
  </si>
  <si>
    <t>L1 GPS</t>
  </si>
  <si>
    <t>GLONASS GPS</t>
  </si>
  <si>
    <t>Galileo GPS</t>
  </si>
  <si>
    <t>QZSS GPS</t>
  </si>
  <si>
    <t>BeiDou GPS</t>
  </si>
  <si>
    <t>Offline Maps</t>
  </si>
  <si>
    <t>Altimeter</t>
  </si>
  <si>
    <t>Always on with range -500m to 9000m</t>
  </si>
  <si>
    <t>Always-on</t>
  </si>
  <si>
    <t>Compass</t>
  </si>
  <si>
    <t>Waypoints, Backtrack, elevation view</t>
  </si>
  <si>
    <t>Emergency SOS</t>
  </si>
  <si>
    <t>Emergency SOS via Satellite</t>
  </si>
  <si>
    <t>International emergency calling</t>
  </si>
  <si>
    <t>Siren</t>
  </si>
  <si>
    <t>Notes</t>
  </si>
  <si>
    <t>No longer advertising as "carbon neutral" due to legal challenges</t>
  </si>
  <si>
    <t>Some color options are specific to the watch with cellular or watch without cellular</t>
  </si>
  <si>
    <t>Created by Matt Popovich</t>
  </si>
  <si>
    <t>Links in row 1 are referral links</t>
  </si>
  <si>
    <t>My blog post with additional information</t>
  </si>
  <si>
    <t>mattpopovich.com</t>
  </si>
  <si>
    <t>@MattPopovich on Twitter / X</t>
  </si>
  <si>
    <t>@MattCracklePops on Instagram</t>
  </si>
  <si>
    <t>@MattPopovich on YouTube</t>
  </si>
  <si>
    <r>
      <rPr>
        <b/>
        <color rgb="FF1155CC"/>
        <u/>
      </rPr>
      <t>Apple Watch Ultra 3</t>
    </r>
    <r>
      <rPr>
        <b/>
        <color rgb="FF000000"/>
      </rPr>
      <t xml:space="preserve"> ⭐️</t>
    </r>
  </si>
  <si>
    <r>
      <rPr>
        <b/>
        <color rgb="FF1155CC"/>
        <u/>
      </rPr>
      <t>Apple Watch Ultra 2</t>
    </r>
    <r>
      <rPr>
        <b/>
        <color rgb="FF000000"/>
      </rPr>
      <t xml:space="preserve"> ⭐️</t>
    </r>
  </si>
  <si>
    <r>
      <rPr>
        <b/>
        <color rgb="FF1155CC"/>
        <u/>
      </rPr>
      <t>Apple Watch Series 11</t>
    </r>
    <r>
      <rPr>
        <b/>
        <color rgb="FF000000"/>
      </rPr>
      <t xml:space="preserve"> ⭐️</t>
    </r>
  </si>
  <si>
    <r>
      <rPr>
        <b/>
        <color rgb="FF1155CC"/>
        <u/>
      </rPr>
      <t>Apple Watch Series 10</t>
    </r>
    <r>
      <rPr>
        <b/>
        <color rgb="FF000000"/>
      </rPr>
      <t xml:space="preserve"> ⭐️</t>
    </r>
  </si>
  <si>
    <r>
      <rPr>
        <b/>
        <color rgb="FF1155CC"/>
        <u/>
      </rPr>
      <t>Apple Watch Series 9</t>
    </r>
    <r>
      <rPr>
        <b/>
        <color rgb="FF000000"/>
      </rPr>
      <t xml:space="preserve"> ⭐️</t>
    </r>
  </si>
  <si>
    <r>
      <rPr>
        <b/>
        <color rgb="FF1155CC"/>
        <u/>
      </rPr>
      <t>Apple Watch SE (3rd gen)</t>
    </r>
    <r>
      <rPr>
        <b/>
        <color rgb="FF000000"/>
      </rPr>
      <t xml:space="preserve"> ⭐️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</si>
</sst>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 &quot;yyyy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  <font>
      <color theme="1"/>
      <name val="Arial"/>
      <scheme val="minor"/>
    </font>
    <font>
      <b/>
      <u/>
      <color rgb="FF0000FF"/>
    </font>
    <font>
      <b/>
      <u/>
      <color rgb="FF0000FF"/>
    </font>
    <font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57BB8A"/>
        <bgColor rgb="FF57BB8A"/>
      </patternFill>
    </fill>
    <fill>
      <patternFill patternType="solid">
        <fgColor rgb="FFE67C73"/>
        <bgColor rgb="FFE67C73"/>
      </patternFill>
    </fill>
    <fill>
      <patternFill patternType="solid">
        <fgColor rgb="FFB7E1CD"/>
        <bgColor rgb="FFB7E1CD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2" fontId="2" numFmtId="0" xfId="0" applyAlignment="1" applyFont="1">
      <alignment readingOrder="0" shrinkToFit="0" vertical="top" wrapText="1"/>
    </xf>
    <xf borderId="0" fillId="3" fontId="3" numFmtId="0" xfId="0" applyAlignment="1" applyFill="1" applyFont="1">
      <alignment readingOrder="0" shrinkToFit="0" vertical="top" wrapText="1"/>
    </xf>
    <xf borderId="0" fillId="2" fontId="4" numFmtId="0" xfId="0" applyAlignment="1" applyFon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2" fontId="1" numFmtId="0" xfId="0" applyAlignment="1" applyFont="1">
      <alignment shrinkToFit="0" wrapText="1"/>
    </xf>
    <xf borderId="0" fillId="2" fontId="1" numFmtId="0" xfId="0" applyAlignment="1" applyFont="1">
      <alignment readingOrder="0" vertical="top"/>
    </xf>
    <xf borderId="0" fillId="0" fontId="3" numFmtId="164" xfId="0" applyAlignment="1" applyFont="1" applyNumberFormat="1">
      <alignment readingOrder="0" vertical="top"/>
    </xf>
    <xf borderId="0" fillId="3" fontId="3" numFmtId="164" xfId="0" applyAlignment="1" applyFont="1" applyNumberFormat="1">
      <alignment readingOrder="0" shrinkToFit="0" vertical="top" wrapText="1"/>
    </xf>
    <xf borderId="0" fillId="4" fontId="3" numFmtId="0" xfId="0" applyAlignment="1" applyFill="1" applyFont="1">
      <alignment readingOrder="0" vertical="top"/>
    </xf>
    <xf borderId="0" fillId="4" fontId="3" numFmtId="0" xfId="0" applyAlignment="1" applyFont="1">
      <alignment readingOrder="0"/>
    </xf>
    <xf borderId="0" fillId="5" fontId="3" numFmtId="0" xfId="0" applyAlignment="1" applyFill="1" applyFont="1">
      <alignment readingOrder="0" vertical="top"/>
    </xf>
    <xf borderId="0" fillId="5" fontId="3" numFmtId="0" xfId="0" applyAlignment="1" applyFont="1">
      <alignment readingOrder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wrapText="1"/>
    </xf>
    <xf borderId="0" fillId="4" fontId="3" numFmtId="0" xfId="0" applyAlignment="1" applyFont="1">
      <alignment readingOrder="0" shrinkToFit="0" vertical="top" wrapText="1"/>
    </xf>
    <xf borderId="0" fillId="6" fontId="3" numFmtId="0" xfId="0" applyAlignment="1" applyFill="1" applyFont="1">
      <alignment readingOrder="0" shrinkToFit="0" vertical="top" wrapText="1"/>
    </xf>
    <xf borderId="0" fillId="0" fontId="3" numFmtId="0" xfId="0" applyAlignment="1" applyFont="1">
      <alignment readingOrder="0" shrinkToFit="0" wrapText="1"/>
    </xf>
    <xf borderId="0" fillId="5" fontId="3" numFmtId="0" xfId="0" applyAlignment="1" applyFont="1">
      <alignment readingOrder="0" shrinkToFit="0" wrapText="1"/>
    </xf>
    <xf borderId="0" fillId="0" fontId="3" numFmtId="0" xfId="0" applyAlignment="1" applyFont="1">
      <alignment shrinkToFit="0" vertical="top" wrapText="1"/>
    </xf>
    <xf borderId="0" fillId="5" fontId="3" numFmtId="0" xfId="0" applyAlignment="1" applyFont="1">
      <alignment readingOrder="0" shrinkToFit="0" vertical="top" wrapText="1"/>
    </xf>
    <xf borderId="0" fillId="2" fontId="5" numFmtId="2" xfId="0" applyAlignment="1" applyFont="1" applyNumberFormat="1">
      <alignment readingOrder="0" vertical="top"/>
    </xf>
    <xf borderId="0" fillId="0" fontId="3" numFmtId="2" xfId="0" applyAlignment="1" applyFont="1" applyNumberFormat="1">
      <alignment readingOrder="0" vertical="top"/>
    </xf>
    <xf borderId="0" fillId="0" fontId="3" numFmtId="2" xfId="0" applyAlignment="1" applyFont="1" applyNumberFormat="1">
      <alignment readingOrder="0"/>
    </xf>
    <xf borderId="0" fillId="0" fontId="3" numFmtId="2" xfId="0" applyFont="1" applyNumberFormat="1"/>
    <xf borderId="0" fillId="7" fontId="3" numFmtId="0" xfId="0" applyAlignment="1" applyFill="1" applyFont="1">
      <alignment readingOrder="0" vertical="top"/>
    </xf>
    <xf borderId="0" fillId="2" fontId="1" numFmtId="0" xfId="0" applyAlignment="1" applyFont="1">
      <alignment readingOrder="0"/>
    </xf>
    <xf borderId="0" fillId="6" fontId="3" numFmtId="0" xfId="0" applyAlignment="1" applyFont="1">
      <alignment readingOrder="0" vertical="top"/>
    </xf>
    <xf borderId="0" fillId="0" fontId="3" numFmtId="0" xfId="0" applyAlignment="1" applyFont="1">
      <alignment vertical="top"/>
    </xf>
    <xf borderId="0" fillId="2" fontId="1" numFmtId="0" xfId="0" applyFont="1"/>
    <xf borderId="1" fillId="8" fontId="6" numFmtId="2" xfId="0" applyAlignment="1" applyBorder="1" applyFill="1" applyFont="1" applyNumberFormat="1">
      <alignment vertical="bottom"/>
    </xf>
    <xf borderId="2" fillId="8" fontId="3" numFmtId="0" xfId="0" applyBorder="1" applyFont="1"/>
    <xf borderId="3" fillId="8" fontId="3" numFmtId="0" xfId="0" applyBorder="1" applyFont="1"/>
    <xf borderId="4" fillId="8" fontId="6" numFmtId="0" xfId="0" applyAlignment="1" applyBorder="1" applyFont="1">
      <alignment readingOrder="0" vertical="bottom"/>
    </xf>
    <xf borderId="0" fillId="8" fontId="3" numFmtId="0" xfId="0" applyFont="1"/>
    <xf borderId="5" fillId="8" fontId="3" numFmtId="0" xfId="0" applyBorder="1" applyFont="1"/>
    <xf borderId="4" fillId="8" fontId="7" numFmtId="0" xfId="0" applyAlignment="1" applyBorder="1" applyFont="1">
      <alignment readingOrder="0" vertical="bottom"/>
    </xf>
    <xf borderId="4" fillId="8" fontId="8" numFmtId="2" xfId="0" applyAlignment="1" applyBorder="1" applyFont="1" applyNumberFormat="1">
      <alignment vertical="bottom"/>
    </xf>
    <xf borderId="4" fillId="8" fontId="9" numFmtId="0" xfId="0" applyAlignment="1" applyBorder="1" applyFont="1">
      <alignment vertical="bottom"/>
    </xf>
    <xf borderId="6" fillId="8" fontId="10" numFmtId="0" xfId="0" applyAlignment="1" applyBorder="1" applyFont="1">
      <alignment vertical="bottom"/>
    </xf>
    <xf borderId="7" fillId="8" fontId="3" numFmtId="0" xfId="0" applyBorder="1" applyFont="1"/>
    <xf borderId="8" fillId="8" fontId="3" numFmtId="0" xfId="0" applyBorder="1" applyFont="1"/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mattcracklepops/" TargetMode="External"/><Relationship Id="rId11" Type="http://schemas.openxmlformats.org/officeDocument/2006/relationships/hyperlink" Target="https://amzn.to/4igAD8e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amzn.to/42x9TKY" TargetMode="External"/><Relationship Id="rId21" Type="http://schemas.openxmlformats.org/officeDocument/2006/relationships/hyperlink" Target="https://www.youtube.com/@mattpopovich" TargetMode="External"/><Relationship Id="rId13" Type="http://schemas.openxmlformats.org/officeDocument/2006/relationships/hyperlink" Target="https://amzn.to/429pGR5" TargetMode="External"/><Relationship Id="rId12" Type="http://schemas.openxmlformats.org/officeDocument/2006/relationships/hyperlink" Target="https://amzn.to/3XSbt8H" TargetMode="External"/><Relationship Id="rId1" Type="http://schemas.openxmlformats.org/officeDocument/2006/relationships/hyperlink" Target="https://amzn.to/4oIKhDZ" TargetMode="External"/><Relationship Id="rId2" Type="http://schemas.openxmlformats.org/officeDocument/2006/relationships/hyperlink" Target="https://amzn.to/4crzt8y" TargetMode="External"/><Relationship Id="rId3" Type="http://schemas.openxmlformats.org/officeDocument/2006/relationships/hyperlink" Target="https://amzn.to/4496Nzl" TargetMode="External"/><Relationship Id="rId4" Type="http://schemas.openxmlformats.org/officeDocument/2006/relationships/hyperlink" Target="https://amzn.to/4oGq2GZ" TargetMode="External"/><Relationship Id="rId9" Type="http://schemas.openxmlformats.org/officeDocument/2006/relationships/hyperlink" Target="https://amzn.to/44m1oop" TargetMode="External"/><Relationship Id="rId15" Type="http://schemas.openxmlformats.org/officeDocument/2006/relationships/hyperlink" Target="https://en.wikipedia.org/wiki/Apple_Watch" TargetMode="External"/><Relationship Id="rId14" Type="http://schemas.openxmlformats.org/officeDocument/2006/relationships/hyperlink" Target="https://amzn.to/4lsX6BG" TargetMode="External"/><Relationship Id="rId17" Type="http://schemas.openxmlformats.org/officeDocument/2006/relationships/hyperlink" Target="https://mattpopovich.com/posts/the-complete-apple-watch-comparison-chart-tech-specs/" TargetMode="External"/><Relationship Id="rId16" Type="http://schemas.openxmlformats.org/officeDocument/2006/relationships/hyperlink" Target="https://www.kenrockwell.com/apple/watch/compared.htm" TargetMode="External"/><Relationship Id="rId5" Type="http://schemas.openxmlformats.org/officeDocument/2006/relationships/hyperlink" Target="https://amzn.to/4j6acTX" TargetMode="External"/><Relationship Id="rId19" Type="http://schemas.openxmlformats.org/officeDocument/2006/relationships/hyperlink" Target="https://twitter.com/mattpopovich" TargetMode="External"/><Relationship Id="rId6" Type="http://schemas.openxmlformats.org/officeDocument/2006/relationships/hyperlink" Target="https://amzn.to/3G0nBOW" TargetMode="External"/><Relationship Id="rId18" Type="http://schemas.openxmlformats.org/officeDocument/2006/relationships/hyperlink" Target="http://mattpopovich.com/" TargetMode="External"/><Relationship Id="rId7" Type="http://schemas.openxmlformats.org/officeDocument/2006/relationships/hyperlink" Target="https://amzn.to/4a0UnfM" TargetMode="External"/><Relationship Id="rId8" Type="http://schemas.openxmlformats.org/officeDocument/2006/relationships/hyperlink" Target="https://amzn.to/42pUgVt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twitter.com/mattpopovich" TargetMode="External"/><Relationship Id="rId11" Type="http://schemas.openxmlformats.org/officeDocument/2006/relationships/hyperlink" Target="https://amzn.to/42x9TKY" TargetMode="External"/><Relationship Id="rId22" Type="http://schemas.openxmlformats.org/officeDocument/2006/relationships/hyperlink" Target="https://www.youtube.com/@mattpopovich" TargetMode="External"/><Relationship Id="rId10" Type="http://schemas.openxmlformats.org/officeDocument/2006/relationships/hyperlink" Target="https://amzn.to/44m1oop" TargetMode="External"/><Relationship Id="rId21" Type="http://schemas.openxmlformats.org/officeDocument/2006/relationships/hyperlink" Target="https://www.instagram.com/mattcracklepops/" TargetMode="External"/><Relationship Id="rId13" Type="http://schemas.openxmlformats.org/officeDocument/2006/relationships/hyperlink" Target="https://amzn.to/3XSbt8H" TargetMode="External"/><Relationship Id="rId24" Type="http://schemas.openxmlformats.org/officeDocument/2006/relationships/vmlDrawing" Target="../drawings/vmlDrawing1.vml"/><Relationship Id="rId12" Type="http://schemas.openxmlformats.org/officeDocument/2006/relationships/hyperlink" Target="https://amzn.to/4igAD8e" TargetMode="External"/><Relationship Id="rId23" Type="http://schemas.openxmlformats.org/officeDocument/2006/relationships/drawing" Target="../drawings/drawing2.xml"/><Relationship Id="rId1" Type="http://schemas.openxmlformats.org/officeDocument/2006/relationships/comments" Target="../comments1.xml"/><Relationship Id="rId2" Type="http://schemas.openxmlformats.org/officeDocument/2006/relationships/hyperlink" Target="https://amzn.to/4oIKhDZ" TargetMode="External"/><Relationship Id="rId3" Type="http://schemas.openxmlformats.org/officeDocument/2006/relationships/hyperlink" Target="https://amzn.to/4crzt8y" TargetMode="External"/><Relationship Id="rId4" Type="http://schemas.openxmlformats.org/officeDocument/2006/relationships/hyperlink" Target="https://amzn.to/4496Nzl" TargetMode="External"/><Relationship Id="rId9" Type="http://schemas.openxmlformats.org/officeDocument/2006/relationships/hyperlink" Target="https://amzn.to/42pUgVt" TargetMode="External"/><Relationship Id="rId15" Type="http://schemas.openxmlformats.org/officeDocument/2006/relationships/hyperlink" Target="https://amzn.to/4lsX6BG" TargetMode="External"/><Relationship Id="rId14" Type="http://schemas.openxmlformats.org/officeDocument/2006/relationships/hyperlink" Target="https://amzn.to/429pGR5" TargetMode="External"/><Relationship Id="rId17" Type="http://schemas.openxmlformats.org/officeDocument/2006/relationships/hyperlink" Target="https://www.kenrockwell.com/apple/watch/compared.htm" TargetMode="External"/><Relationship Id="rId16" Type="http://schemas.openxmlformats.org/officeDocument/2006/relationships/hyperlink" Target="https://en.wikipedia.org/wiki/Apple_Watch" TargetMode="External"/><Relationship Id="rId5" Type="http://schemas.openxmlformats.org/officeDocument/2006/relationships/hyperlink" Target="https://amzn.to/4oGq2GZ" TargetMode="External"/><Relationship Id="rId19" Type="http://schemas.openxmlformats.org/officeDocument/2006/relationships/hyperlink" Target="http://mattpopovich.com/" TargetMode="External"/><Relationship Id="rId6" Type="http://schemas.openxmlformats.org/officeDocument/2006/relationships/hyperlink" Target="https://amzn.to/4j6acTX" TargetMode="External"/><Relationship Id="rId18" Type="http://schemas.openxmlformats.org/officeDocument/2006/relationships/hyperlink" Target="https://mattpopovich.com/posts/the-complete-apple-watch-comparison-chart-tech-specs/" TargetMode="External"/><Relationship Id="rId7" Type="http://schemas.openxmlformats.org/officeDocument/2006/relationships/hyperlink" Target="https://amzn.to/3G0nBOW" TargetMode="External"/><Relationship Id="rId8" Type="http://schemas.openxmlformats.org/officeDocument/2006/relationships/hyperlink" Target="https://amzn.to/4a0Un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0.5"/>
    <col customWidth="1" min="2" max="2" width="11.13"/>
    <col customWidth="1" min="3" max="3" width="11.5"/>
    <col customWidth="1" min="4" max="4" width="11.13"/>
    <col customWidth="1" min="5" max="5" width="2.75"/>
    <col customWidth="1" min="6" max="6" width="11.88"/>
    <col customWidth="1" min="7" max="7" width="11.25"/>
    <col customWidth="1" min="8" max="8" width="11.38"/>
    <col customWidth="1" min="9" max="9" width="13.5"/>
    <col customWidth="1" min="10" max="10" width="11.0"/>
    <col customWidth="1" min="11" max="11" width="11.25"/>
    <col customWidth="1" min="12" max="12" width="11.0"/>
    <col customWidth="1" min="13" max="13" width="11.88"/>
    <col customWidth="1" min="14" max="14" width="7.63"/>
    <col customWidth="1" min="15" max="15" width="11.75"/>
    <col customWidth="1" min="16" max="16" width="11.25"/>
    <col customWidth="1" min="17" max="17" width="11.0"/>
    <col customWidth="1" min="18" max="19" width="11.25"/>
    <col customWidth="1" min="20" max="20" width="11.5"/>
    <col customWidth="1" min="21" max="21" width="11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4" t="s">
        <v>11</v>
      </c>
      <c r="N1" s="3"/>
      <c r="O1" s="2" t="s">
        <v>12</v>
      </c>
      <c r="P1" s="4" t="s">
        <v>13</v>
      </c>
      <c r="Q1" s="4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6"/>
    </row>
    <row r="2">
      <c r="A2" s="7" t="s">
        <v>19</v>
      </c>
      <c r="B2" s="8">
        <v>45919.0</v>
      </c>
      <c r="C2" s="8">
        <v>45191.0</v>
      </c>
      <c r="D2" s="8">
        <v>44827.0</v>
      </c>
      <c r="E2" s="9"/>
      <c r="F2" s="8">
        <f>B2</f>
        <v>45919</v>
      </c>
      <c r="G2" s="8">
        <v>45555.0</v>
      </c>
      <c r="H2" s="8">
        <f>C2</f>
        <v>45191</v>
      </c>
      <c r="I2" s="8">
        <f>B2</f>
        <v>45919</v>
      </c>
      <c r="J2" s="8">
        <v>44820.0</v>
      </c>
      <c r="K2" s="8">
        <v>44484.0</v>
      </c>
      <c r="L2" s="8">
        <v>44092.0</v>
      </c>
      <c r="M2" s="8">
        <f>J2</f>
        <v>44820</v>
      </c>
      <c r="N2" s="9"/>
      <c r="O2" s="8">
        <v>43728.0</v>
      </c>
      <c r="P2" s="8">
        <v>43364.0</v>
      </c>
      <c r="Q2" s="8">
        <f>L2</f>
        <v>44092</v>
      </c>
      <c r="R2" s="8">
        <v>43000.0</v>
      </c>
      <c r="S2" s="8">
        <v>42629.0</v>
      </c>
      <c r="T2" s="8">
        <v>42629.0</v>
      </c>
      <c r="U2" s="8">
        <v>42118.0</v>
      </c>
    </row>
    <row r="3">
      <c r="A3" s="7" t="s">
        <v>20</v>
      </c>
      <c r="B3" s="10">
        <v>26.0</v>
      </c>
      <c r="C3" s="10">
        <v>26.0</v>
      </c>
      <c r="D3" s="10">
        <v>26.0</v>
      </c>
      <c r="E3" s="3"/>
      <c r="F3" s="10">
        <v>26.0</v>
      </c>
      <c r="G3" s="10">
        <v>26.0</v>
      </c>
      <c r="H3" s="10">
        <v>26.0</v>
      </c>
      <c r="I3" s="10">
        <v>26.0</v>
      </c>
      <c r="J3" s="10">
        <v>26.0</v>
      </c>
      <c r="K3" s="10">
        <v>26.0</v>
      </c>
      <c r="L3" s="10">
        <v>26.0</v>
      </c>
      <c r="M3" s="11">
        <v>26.0</v>
      </c>
      <c r="N3" s="3"/>
      <c r="O3" s="12">
        <v>10.0</v>
      </c>
      <c r="P3" s="13">
        <v>10.0</v>
      </c>
      <c r="Q3" s="13">
        <v>10.0</v>
      </c>
      <c r="R3" s="13">
        <v>8.0</v>
      </c>
      <c r="S3" s="13">
        <v>6.0</v>
      </c>
      <c r="T3" s="13">
        <v>6.0</v>
      </c>
      <c r="U3" s="13">
        <v>4.0</v>
      </c>
    </row>
    <row r="4">
      <c r="A4" s="7" t="s">
        <v>21</v>
      </c>
      <c r="B4" s="14">
        <v>49.0</v>
      </c>
      <c r="C4" s="14">
        <v>49.0</v>
      </c>
      <c r="D4" s="14">
        <v>49.0</v>
      </c>
      <c r="E4" s="3"/>
      <c r="F4" s="14">
        <v>46.0</v>
      </c>
      <c r="G4" s="14">
        <v>47.0</v>
      </c>
      <c r="H4" s="14">
        <v>45.0</v>
      </c>
      <c r="I4" s="14">
        <v>44.0</v>
      </c>
      <c r="J4" s="14">
        <v>45.0</v>
      </c>
      <c r="K4" s="14">
        <v>45.0</v>
      </c>
      <c r="L4" s="14">
        <v>44.0</v>
      </c>
      <c r="M4" s="15">
        <v>44.0</v>
      </c>
      <c r="N4" s="3"/>
      <c r="O4" s="14">
        <v>44.0</v>
      </c>
      <c r="P4" s="15">
        <v>44.0</v>
      </c>
      <c r="Q4" s="15">
        <v>44.0</v>
      </c>
      <c r="R4" s="15">
        <v>42.0</v>
      </c>
      <c r="S4" s="15">
        <v>42.0</v>
      </c>
      <c r="T4" s="15">
        <v>42.0</v>
      </c>
    </row>
    <row r="5">
      <c r="A5" s="7" t="s">
        <v>22</v>
      </c>
      <c r="B5" s="14">
        <v>49.0</v>
      </c>
      <c r="C5" s="14">
        <v>49.0</v>
      </c>
      <c r="D5" s="14">
        <v>49.0</v>
      </c>
      <c r="E5" s="3"/>
      <c r="F5" s="14">
        <v>42.0</v>
      </c>
      <c r="G5" s="14">
        <v>42.0</v>
      </c>
      <c r="H5" s="14">
        <v>41.0</v>
      </c>
      <c r="I5" s="14">
        <v>40.0</v>
      </c>
      <c r="J5" s="14">
        <v>41.0</v>
      </c>
      <c r="K5" s="14">
        <v>41.0</v>
      </c>
      <c r="L5" s="14">
        <v>40.0</v>
      </c>
      <c r="M5" s="15">
        <v>40.0</v>
      </c>
      <c r="N5" s="3"/>
      <c r="O5" s="14">
        <v>40.0</v>
      </c>
      <c r="P5" s="15">
        <v>40.0</v>
      </c>
      <c r="Q5" s="15">
        <v>40.0</v>
      </c>
      <c r="R5" s="15">
        <v>38.0</v>
      </c>
      <c r="S5" s="15">
        <v>38.0</v>
      </c>
      <c r="T5" s="15">
        <v>38.0</v>
      </c>
    </row>
    <row r="6">
      <c r="A6" s="1" t="s">
        <v>23</v>
      </c>
      <c r="B6" s="16">
        <f>422*514</f>
        <v>216908</v>
      </c>
      <c r="C6" s="16">
        <f t="shared" ref="C6:D6" si="1">410*502</f>
        <v>205820</v>
      </c>
      <c r="D6" s="16">
        <f t="shared" si="1"/>
        <v>205820</v>
      </c>
      <c r="E6" s="3"/>
      <c r="F6" s="16">
        <f t="shared" ref="F6:G6" si="2">416*496</f>
        <v>206336</v>
      </c>
      <c r="G6" s="16">
        <f t="shared" si="2"/>
        <v>206336</v>
      </c>
      <c r="H6" s="16">
        <f>396*484</f>
        <v>191664</v>
      </c>
      <c r="I6" s="16">
        <f>368*448</f>
        <v>164864</v>
      </c>
      <c r="J6" s="16">
        <f t="shared" ref="J6:K6" si="3">396*484</f>
        <v>191664</v>
      </c>
      <c r="K6" s="16">
        <f t="shared" si="3"/>
        <v>191664</v>
      </c>
      <c r="L6" s="16">
        <f t="shared" ref="L6:M6" si="4">368*448</f>
        <v>164864</v>
      </c>
      <c r="M6" s="16">
        <f t="shared" si="4"/>
        <v>164864</v>
      </c>
      <c r="N6" s="3"/>
      <c r="O6" s="16">
        <f t="shared" ref="O6:Q6" si="5">368*448</f>
        <v>164864</v>
      </c>
      <c r="P6" s="16">
        <f t="shared" si="5"/>
        <v>164864</v>
      </c>
      <c r="Q6" s="16">
        <f t="shared" si="5"/>
        <v>164864</v>
      </c>
      <c r="R6" s="16">
        <f t="shared" ref="R6:T6" si="6">312*390</f>
        <v>121680</v>
      </c>
      <c r="S6" s="16">
        <f t="shared" si="6"/>
        <v>121680</v>
      </c>
      <c r="T6" s="16">
        <f t="shared" si="6"/>
        <v>121680</v>
      </c>
      <c r="U6" s="17"/>
      <c r="V6" s="17"/>
    </row>
    <row r="7" hidden="1">
      <c r="A7" s="1" t="s">
        <v>24</v>
      </c>
      <c r="B7" s="16">
        <f t="shared" ref="B7:D7" si="7">B6</f>
        <v>216908</v>
      </c>
      <c r="C7" s="16">
        <f t="shared" si="7"/>
        <v>205820</v>
      </c>
      <c r="D7" s="16">
        <f t="shared" si="7"/>
        <v>205820</v>
      </c>
      <c r="E7" s="3"/>
      <c r="F7" s="16">
        <f t="shared" ref="F7:G7" si="8">374*446</f>
        <v>166804</v>
      </c>
      <c r="G7" s="16">
        <f t="shared" si="8"/>
        <v>166804</v>
      </c>
      <c r="H7" s="16">
        <f>352*430</f>
        <v>151360</v>
      </c>
      <c r="I7" s="16">
        <f>324*394</f>
        <v>127656</v>
      </c>
      <c r="J7" s="16">
        <f t="shared" ref="J7:K7" si="9">352*430</f>
        <v>151360</v>
      </c>
      <c r="K7" s="16">
        <f t="shared" si="9"/>
        <v>151360</v>
      </c>
      <c r="L7" s="16">
        <f t="shared" ref="L7:M7" si="10">324*394</f>
        <v>127656</v>
      </c>
      <c r="M7" s="16">
        <f t="shared" si="10"/>
        <v>127656</v>
      </c>
      <c r="N7" s="3"/>
      <c r="O7" s="16">
        <f t="shared" ref="O7:Q7" si="11">324*394</f>
        <v>127656</v>
      </c>
      <c r="P7" s="16">
        <f t="shared" si="11"/>
        <v>127656</v>
      </c>
      <c r="Q7" s="16">
        <f t="shared" si="11"/>
        <v>127656</v>
      </c>
      <c r="R7" s="16">
        <f t="shared" ref="R7:T7" si="12">272*340</f>
        <v>92480</v>
      </c>
      <c r="S7" s="16">
        <f t="shared" si="12"/>
        <v>92480</v>
      </c>
      <c r="T7" s="16">
        <f t="shared" si="12"/>
        <v>92480</v>
      </c>
      <c r="U7" s="17"/>
      <c r="V7" s="17"/>
    </row>
    <row r="8">
      <c r="A8" s="1" t="s">
        <v>25</v>
      </c>
      <c r="B8" s="16">
        <v>1245.0</v>
      </c>
      <c r="C8" s="16">
        <v>1185.0</v>
      </c>
      <c r="D8" s="16">
        <v>1185.0</v>
      </c>
      <c r="E8" s="3"/>
      <c r="F8" s="16">
        <v>1220.0</v>
      </c>
      <c r="G8" s="16">
        <v>1220.0</v>
      </c>
      <c r="H8" s="16">
        <v>1143.0</v>
      </c>
      <c r="I8" s="16">
        <v>977.0</v>
      </c>
      <c r="J8" s="16">
        <v>1143.0</v>
      </c>
      <c r="K8" s="16">
        <v>1143.0</v>
      </c>
      <c r="L8" s="16">
        <v>977.0</v>
      </c>
      <c r="M8" s="16">
        <v>977.0</v>
      </c>
      <c r="N8" s="3"/>
      <c r="O8" s="16">
        <v>977.0</v>
      </c>
      <c r="P8" s="16">
        <v>977.0</v>
      </c>
      <c r="Q8" s="16">
        <v>977.0</v>
      </c>
      <c r="R8" s="16">
        <v>740.0</v>
      </c>
      <c r="S8" s="16">
        <v>740.0</v>
      </c>
      <c r="T8" s="16">
        <v>740.0</v>
      </c>
      <c r="U8" s="17"/>
      <c r="V8" s="17"/>
    </row>
    <row r="9" hidden="1">
      <c r="A9" s="1" t="s">
        <v>26</v>
      </c>
      <c r="B9" s="16">
        <f t="shared" ref="B9:D9" si="13">B8</f>
        <v>1245</v>
      </c>
      <c r="C9" s="16">
        <f t="shared" si="13"/>
        <v>1185</v>
      </c>
      <c r="D9" s="16">
        <f t="shared" si="13"/>
        <v>1185</v>
      </c>
      <c r="E9" s="3"/>
      <c r="F9" s="16">
        <v>989.0</v>
      </c>
      <c r="G9" s="16">
        <v>989.0</v>
      </c>
      <c r="H9" s="16">
        <v>904.0</v>
      </c>
      <c r="I9" s="16">
        <v>759.0</v>
      </c>
      <c r="J9" s="16">
        <v>904.0</v>
      </c>
      <c r="K9" s="16">
        <v>904.0</v>
      </c>
      <c r="L9" s="16">
        <v>759.0</v>
      </c>
      <c r="M9" s="16">
        <v>759.0</v>
      </c>
      <c r="N9" s="3"/>
      <c r="O9" s="16">
        <v>759.0</v>
      </c>
      <c r="P9" s="16">
        <v>759.0</v>
      </c>
      <c r="Q9" s="16">
        <v>759.0</v>
      </c>
      <c r="R9" s="16">
        <v>563.0</v>
      </c>
      <c r="S9" s="16">
        <v>563.0</v>
      </c>
      <c r="T9" s="16">
        <v>563.0</v>
      </c>
      <c r="U9" s="17"/>
      <c r="V9" s="17"/>
    </row>
    <row r="10" hidden="1">
      <c r="A10" s="1" t="s">
        <v>27</v>
      </c>
      <c r="B10" s="16" t="str">
        <f t="shared" ref="B10:C10" si="14">C10</f>
        <v>titanium</v>
      </c>
      <c r="C10" s="16" t="str">
        <f t="shared" si="14"/>
        <v>titanium</v>
      </c>
      <c r="D10" s="16" t="s">
        <v>28</v>
      </c>
      <c r="E10" s="3"/>
      <c r="F10" s="16" t="s">
        <v>29</v>
      </c>
      <c r="G10" s="16" t="s">
        <v>29</v>
      </c>
      <c r="H10" s="16" t="str">
        <f>J10</f>
        <v>aluminum, stainless steel</v>
      </c>
      <c r="I10" s="16" t="s">
        <v>30</v>
      </c>
      <c r="J10" s="16" t="s">
        <v>31</v>
      </c>
      <c r="K10" s="16" t="s">
        <v>32</v>
      </c>
      <c r="L10" s="16" t="s">
        <v>31</v>
      </c>
      <c r="M10" s="16" t="s">
        <v>30</v>
      </c>
      <c r="N10" s="3"/>
      <c r="O10" s="16" t="s">
        <v>33</v>
      </c>
      <c r="P10" s="16" t="s">
        <v>31</v>
      </c>
      <c r="Q10" s="16" t="s">
        <v>30</v>
      </c>
      <c r="R10" s="16" t="str">
        <f>S10</f>
        <v>aluminum, stainless steel, ceramic</v>
      </c>
      <c r="S10" s="16" t="s">
        <v>34</v>
      </c>
      <c r="T10" s="16" t="s">
        <v>31</v>
      </c>
      <c r="U10" s="17"/>
      <c r="V10" s="17"/>
    </row>
    <row r="11" hidden="1">
      <c r="A11" s="7" t="s">
        <v>35</v>
      </c>
      <c r="B11" s="14" t="s">
        <v>36</v>
      </c>
      <c r="C11" s="14">
        <v>1.0</v>
      </c>
      <c r="D11" s="14">
        <v>1.0</v>
      </c>
      <c r="E11" s="3"/>
      <c r="F11" s="14" t="s">
        <v>36</v>
      </c>
      <c r="G11" s="14">
        <v>1.0</v>
      </c>
      <c r="H11" s="14">
        <v>1.0</v>
      </c>
      <c r="I11" s="16" t="s">
        <v>36</v>
      </c>
      <c r="J11" s="16">
        <v>1.0</v>
      </c>
      <c r="K11" s="14">
        <v>0.0</v>
      </c>
      <c r="L11" s="14">
        <v>0.0</v>
      </c>
      <c r="M11" s="16">
        <v>1.0</v>
      </c>
      <c r="N11" s="3"/>
      <c r="O11" s="14">
        <v>0.0</v>
      </c>
      <c r="P11" s="15">
        <v>0.0</v>
      </c>
      <c r="Q11" s="15">
        <v>0.0</v>
      </c>
      <c r="R11" s="15">
        <v>0.0</v>
      </c>
      <c r="S11" s="15">
        <v>0.0</v>
      </c>
      <c r="T11" s="15">
        <v>0.0</v>
      </c>
    </row>
    <row r="12" hidden="1">
      <c r="A12" s="1" t="s">
        <v>37</v>
      </c>
      <c r="B12" s="18" t="s">
        <v>38</v>
      </c>
      <c r="C12" s="19" t="str">
        <f>D12</f>
        <v>LTPO2 OLED Retina</v>
      </c>
      <c r="D12" s="19" t="s">
        <v>39</v>
      </c>
      <c r="E12" s="3"/>
      <c r="F12" s="18" t="s">
        <v>38</v>
      </c>
      <c r="G12" s="18" t="s">
        <v>38</v>
      </c>
      <c r="H12" s="20" t="s">
        <v>40</v>
      </c>
      <c r="I12" s="20" t="s">
        <v>40</v>
      </c>
      <c r="J12" s="20" t="s">
        <v>40</v>
      </c>
      <c r="K12" s="20" t="s">
        <v>40</v>
      </c>
      <c r="L12" s="20" t="s">
        <v>40</v>
      </c>
      <c r="M12" s="20" t="s">
        <v>40</v>
      </c>
      <c r="N12" s="3"/>
      <c r="O12" s="20" t="s">
        <v>40</v>
      </c>
      <c r="P12" s="20" t="s">
        <v>40</v>
      </c>
      <c r="Q12" s="20" t="s">
        <v>40</v>
      </c>
      <c r="R12" s="21" t="s">
        <v>41</v>
      </c>
      <c r="S12" s="21" t="s">
        <v>41</v>
      </c>
      <c r="T12" s="21" t="s">
        <v>41</v>
      </c>
      <c r="U12" s="17"/>
      <c r="V12" s="17"/>
    </row>
    <row r="13">
      <c r="A13" s="7" t="s">
        <v>42</v>
      </c>
      <c r="B13" s="16">
        <v>1.0</v>
      </c>
      <c r="C13" s="16">
        <v>1.0</v>
      </c>
      <c r="D13" s="16">
        <v>1.0</v>
      </c>
      <c r="E13" s="3"/>
      <c r="F13" s="16">
        <v>1.0</v>
      </c>
      <c r="G13" s="16">
        <v>1.0</v>
      </c>
      <c r="H13" s="16">
        <v>1.0</v>
      </c>
      <c r="I13" s="16">
        <v>1.0</v>
      </c>
      <c r="J13" s="16">
        <v>1.0</v>
      </c>
      <c r="K13" s="16">
        <v>1.0</v>
      </c>
      <c r="L13" s="16">
        <v>1.0</v>
      </c>
      <c r="M13" s="20">
        <v>0.0</v>
      </c>
      <c r="N13" s="3"/>
      <c r="O13" s="16">
        <v>1.0</v>
      </c>
      <c r="P13" s="20">
        <v>0.0</v>
      </c>
      <c r="Q13" s="20">
        <v>0.0</v>
      </c>
      <c r="R13" s="20">
        <v>0.0</v>
      </c>
      <c r="S13" s="20">
        <v>0.0</v>
      </c>
      <c r="T13" s="20">
        <v>0.0</v>
      </c>
    </row>
    <row r="14">
      <c r="A14" s="7" t="s">
        <v>43</v>
      </c>
      <c r="B14" s="14">
        <v>1.0</v>
      </c>
      <c r="C14" s="14">
        <v>0.0</v>
      </c>
      <c r="D14" s="14">
        <v>0.0</v>
      </c>
      <c r="E14" s="3"/>
      <c r="F14" s="14">
        <v>1.0</v>
      </c>
      <c r="G14" s="14">
        <v>1.0</v>
      </c>
      <c r="H14" s="14">
        <v>0.0</v>
      </c>
      <c r="I14" s="14">
        <v>0.0</v>
      </c>
      <c r="J14" s="14">
        <v>0.0</v>
      </c>
      <c r="K14" s="14">
        <v>0.0</v>
      </c>
      <c r="L14" s="14">
        <v>0.0</v>
      </c>
      <c r="M14" s="15">
        <v>0.0</v>
      </c>
      <c r="N14" s="3"/>
      <c r="O14" s="14">
        <v>0.0</v>
      </c>
      <c r="P14" s="15">
        <v>0.0</v>
      </c>
      <c r="Q14" s="15">
        <v>0.0</v>
      </c>
      <c r="R14" s="15">
        <v>0.0</v>
      </c>
      <c r="S14" s="15">
        <v>0.0</v>
      </c>
      <c r="T14" s="15">
        <v>0.0</v>
      </c>
    </row>
    <row r="15">
      <c r="A15" s="7" t="s">
        <v>44</v>
      </c>
      <c r="B15" s="14">
        <v>3000.0</v>
      </c>
      <c r="C15" s="14">
        <v>3000.0</v>
      </c>
      <c r="D15" s="14">
        <v>2000.0</v>
      </c>
      <c r="E15" s="3"/>
      <c r="F15" s="14">
        <v>2000.0</v>
      </c>
      <c r="G15" s="14">
        <v>2000.0</v>
      </c>
      <c r="H15" s="14">
        <v>2000.0</v>
      </c>
      <c r="I15" s="14">
        <v>1000.0</v>
      </c>
      <c r="J15" s="14">
        <v>1000.0</v>
      </c>
      <c r="K15" s="14">
        <v>1000.0</v>
      </c>
      <c r="L15" s="14">
        <v>1000.0</v>
      </c>
      <c r="M15" s="15">
        <v>1000.0</v>
      </c>
      <c r="N15" s="3"/>
      <c r="O15" s="14">
        <v>1000.0</v>
      </c>
      <c r="P15" s="15">
        <v>1000.0</v>
      </c>
      <c r="Q15" s="15">
        <v>1000.0</v>
      </c>
      <c r="R15" s="15">
        <v>1000.0</v>
      </c>
      <c r="S15" s="15">
        <v>1000.0</v>
      </c>
      <c r="T15" s="15">
        <v>450.0</v>
      </c>
    </row>
    <row r="16">
      <c r="A16" s="7" t="s">
        <v>45</v>
      </c>
      <c r="B16" s="10">
        <v>1.0</v>
      </c>
      <c r="C16" s="10">
        <v>1.0</v>
      </c>
      <c r="D16" s="10">
        <v>1.0</v>
      </c>
      <c r="E16" s="3"/>
      <c r="F16" s="10">
        <v>1.0</v>
      </c>
      <c r="G16" s="10">
        <v>1.0</v>
      </c>
      <c r="H16" s="10">
        <v>1.0</v>
      </c>
      <c r="I16" s="15">
        <v>2.0</v>
      </c>
      <c r="J16" s="13" t="str">
        <f t="shared" ref="J16:M16" si="15">$T$16</f>
        <v>N/A</v>
      </c>
      <c r="K16" s="13" t="str">
        <f t="shared" si="15"/>
        <v>N/A</v>
      </c>
      <c r="L16" s="13" t="str">
        <f t="shared" si="15"/>
        <v>N/A</v>
      </c>
      <c r="M16" s="13" t="str">
        <f t="shared" si="15"/>
        <v>N/A</v>
      </c>
      <c r="N16" s="3"/>
      <c r="O16" s="13" t="str">
        <f t="shared" ref="O16:S16" si="16">$T$16</f>
        <v>N/A</v>
      </c>
      <c r="P16" s="13" t="str">
        <f t="shared" si="16"/>
        <v>N/A</v>
      </c>
      <c r="Q16" s="13" t="str">
        <f t="shared" si="16"/>
        <v>N/A</v>
      </c>
      <c r="R16" s="13" t="str">
        <f t="shared" si="16"/>
        <v>N/A</v>
      </c>
      <c r="S16" s="13" t="str">
        <f t="shared" si="16"/>
        <v>N/A</v>
      </c>
      <c r="T16" s="13" t="s">
        <v>36</v>
      </c>
    </row>
    <row r="17" hidden="1">
      <c r="A17" s="2" t="s">
        <v>46</v>
      </c>
      <c r="B17" s="16" t="str">
        <f t="shared" ref="B17:C17" si="17">C17</f>
        <v>Flat sapphire crystal display</v>
      </c>
      <c r="C17" s="16" t="str">
        <f t="shared" si="17"/>
        <v>Flat sapphire crystal display</v>
      </c>
      <c r="D17" s="16" t="s">
        <v>47</v>
      </c>
      <c r="E17" s="3"/>
      <c r="F17" s="22" t="str">
        <f>G17</f>
        <v>Ion-X on aluminum cases, sapphire front crystal on titanium+ cases</v>
      </c>
      <c r="G17" s="16" t="s">
        <v>48</v>
      </c>
      <c r="H17" s="22" t="str">
        <f>$U$17</f>
        <v>Ion-X on aluminum cases, sapphire front crystal on stainless steel+ cases</v>
      </c>
      <c r="I17" s="22" t="str">
        <f>M17</f>
        <v>Ion-X</v>
      </c>
      <c r="J17" s="22" t="str">
        <f t="shared" ref="J17:L17" si="18">$U$17</f>
        <v>Ion-X on aluminum cases, sapphire front crystal on stainless steel+ cases</v>
      </c>
      <c r="K17" s="22" t="str">
        <f t="shared" si="18"/>
        <v>Ion-X on aluminum cases, sapphire front crystal on stainless steel+ cases</v>
      </c>
      <c r="L17" s="22" t="str">
        <f t="shared" si="18"/>
        <v>Ion-X on aluminum cases, sapphire front crystal on stainless steel+ cases</v>
      </c>
      <c r="M17" s="16" t="str">
        <f>Q17</f>
        <v>Ion-X</v>
      </c>
      <c r="N17" s="3"/>
      <c r="O17" s="22" t="str">
        <f t="shared" ref="O17:P17" si="19">$U$17</f>
        <v>Ion-X on aluminum cases, sapphire front crystal on stainless steel+ cases</v>
      </c>
      <c r="P17" s="22" t="str">
        <f t="shared" si="19"/>
        <v>Ion-X on aluminum cases, sapphire front crystal on stainless steel+ cases</v>
      </c>
      <c r="Q17" s="16" t="s">
        <v>49</v>
      </c>
      <c r="R17" s="22" t="str">
        <f t="shared" ref="R17:T17" si="20">$U$17</f>
        <v>Ion-X on aluminum cases, sapphire front crystal on stainless steel+ cases</v>
      </c>
      <c r="S17" s="22" t="str">
        <f t="shared" si="20"/>
        <v>Ion-X on aluminum cases, sapphire front crystal on stainless steel+ cases</v>
      </c>
      <c r="T17" s="22" t="str">
        <f t="shared" si="20"/>
        <v>Ion-X on aluminum cases, sapphire front crystal on stainless steel+ cases</v>
      </c>
      <c r="U17" s="16" t="s">
        <v>50</v>
      </c>
      <c r="V17" s="22"/>
    </row>
    <row r="18">
      <c r="A18" s="7" t="s">
        <v>51</v>
      </c>
      <c r="B18" s="14">
        <v>1.0</v>
      </c>
      <c r="C18" s="14">
        <v>1.0</v>
      </c>
      <c r="D18" s="14">
        <v>1.0</v>
      </c>
      <c r="E18" s="3"/>
      <c r="F18" s="14">
        <v>1.0</v>
      </c>
      <c r="G18" s="14">
        <v>1.0</v>
      </c>
      <c r="H18" s="14">
        <v>1.0</v>
      </c>
      <c r="I18" s="14">
        <v>0.0</v>
      </c>
      <c r="J18" s="14">
        <v>1.0</v>
      </c>
      <c r="K18" s="14">
        <v>1.0</v>
      </c>
      <c r="L18" s="14">
        <v>1.0</v>
      </c>
      <c r="M18" s="15">
        <v>0.0</v>
      </c>
      <c r="N18" s="3"/>
      <c r="O18" s="14">
        <v>1.0</v>
      </c>
      <c r="P18" s="15">
        <v>1.0</v>
      </c>
      <c r="Q18" s="15">
        <v>0.0</v>
      </c>
      <c r="R18" s="15">
        <v>0.0</v>
      </c>
      <c r="S18" s="15">
        <v>0.0</v>
      </c>
      <c r="T18" s="15">
        <v>0.0</v>
      </c>
    </row>
    <row r="19" hidden="1">
      <c r="A19" s="7" t="s">
        <v>52</v>
      </c>
      <c r="B19" s="14">
        <v>1.0</v>
      </c>
      <c r="C19" s="14">
        <v>1.0</v>
      </c>
      <c r="D19" s="14">
        <v>1.0</v>
      </c>
      <c r="E19" s="3"/>
      <c r="F19" s="14">
        <v>1.0</v>
      </c>
      <c r="G19" s="14">
        <v>1.0</v>
      </c>
      <c r="H19" s="14">
        <v>1.0</v>
      </c>
      <c r="I19" s="14">
        <v>1.0</v>
      </c>
      <c r="J19" s="14">
        <v>1.0</v>
      </c>
      <c r="K19" s="14">
        <v>1.0</v>
      </c>
      <c r="L19" s="14">
        <v>1.0</v>
      </c>
      <c r="M19" s="15">
        <v>1.0</v>
      </c>
      <c r="N19" s="3"/>
      <c r="O19" s="14">
        <v>1.0</v>
      </c>
      <c r="P19" s="15">
        <v>1.0</v>
      </c>
      <c r="Q19" s="15">
        <v>1.0</v>
      </c>
      <c r="R19" s="15">
        <v>1.0</v>
      </c>
      <c r="S19" s="15">
        <v>1.0</v>
      </c>
      <c r="T19" s="15">
        <v>1.0</v>
      </c>
    </row>
    <row r="20" hidden="1">
      <c r="A20" s="7" t="s">
        <v>53</v>
      </c>
      <c r="B20" s="14">
        <v>1.0</v>
      </c>
      <c r="C20" s="14">
        <v>1.0</v>
      </c>
      <c r="D20" s="14">
        <v>1.0</v>
      </c>
      <c r="E20" s="3"/>
      <c r="F20" s="14">
        <v>1.0</v>
      </c>
      <c r="G20" s="14">
        <v>1.0</v>
      </c>
      <c r="H20" s="14">
        <v>1.0</v>
      </c>
      <c r="I20" s="14">
        <v>1.0</v>
      </c>
      <c r="J20" s="14">
        <v>1.0</v>
      </c>
      <c r="K20" s="14">
        <v>1.0</v>
      </c>
      <c r="L20" s="14">
        <v>1.0</v>
      </c>
      <c r="M20" s="15">
        <v>1.0</v>
      </c>
      <c r="N20" s="3"/>
      <c r="O20" s="14">
        <v>1.0</v>
      </c>
      <c r="P20" s="15">
        <v>1.0</v>
      </c>
      <c r="Q20" s="15">
        <v>1.0</v>
      </c>
      <c r="R20" s="15">
        <v>1.0</v>
      </c>
      <c r="S20" s="15">
        <v>1.0</v>
      </c>
      <c r="T20" s="15">
        <v>1.0</v>
      </c>
    </row>
    <row r="21" hidden="1">
      <c r="A21" s="7" t="s">
        <v>54</v>
      </c>
      <c r="B21" s="14">
        <v>1.0</v>
      </c>
      <c r="C21" s="14">
        <v>1.0</v>
      </c>
      <c r="D21" s="14">
        <v>1.0</v>
      </c>
      <c r="E21" s="3"/>
      <c r="F21" s="14">
        <v>1.0</v>
      </c>
      <c r="G21" s="14">
        <v>1.0</v>
      </c>
      <c r="H21" s="14">
        <v>1.0</v>
      </c>
      <c r="I21" s="14">
        <v>1.0</v>
      </c>
      <c r="J21" s="14">
        <v>1.0</v>
      </c>
      <c r="K21" s="14">
        <v>1.0</v>
      </c>
      <c r="L21" s="14">
        <v>1.0</v>
      </c>
      <c r="M21" s="15">
        <v>1.0</v>
      </c>
      <c r="N21" s="3"/>
      <c r="O21" s="14">
        <v>1.0</v>
      </c>
      <c r="P21" s="15">
        <v>1.0</v>
      </c>
      <c r="Q21" s="15">
        <v>1.0</v>
      </c>
      <c r="R21" s="15">
        <v>1.0</v>
      </c>
      <c r="S21" s="15">
        <v>1.0</v>
      </c>
      <c r="T21" s="15">
        <v>0.0</v>
      </c>
    </row>
    <row r="22">
      <c r="A22" s="7" t="s">
        <v>55</v>
      </c>
      <c r="B22" s="14">
        <v>1.0</v>
      </c>
      <c r="C22" s="14">
        <v>1.0</v>
      </c>
      <c r="D22" s="14">
        <v>1.0</v>
      </c>
      <c r="E22" s="3"/>
      <c r="F22" s="14">
        <v>1.0</v>
      </c>
      <c r="G22" s="14">
        <v>1.0</v>
      </c>
      <c r="H22" s="14">
        <v>1.0</v>
      </c>
      <c r="I22" s="14">
        <v>0.0</v>
      </c>
      <c r="J22" s="14">
        <v>1.0</v>
      </c>
      <c r="K22" s="14">
        <v>1.0</v>
      </c>
      <c r="L22" s="14">
        <v>1.0</v>
      </c>
      <c r="M22" s="15">
        <v>0.0</v>
      </c>
      <c r="N22" s="3"/>
      <c r="O22" s="14">
        <v>0.0</v>
      </c>
      <c r="P22" s="15">
        <v>0.0</v>
      </c>
      <c r="Q22" s="15">
        <v>0.0</v>
      </c>
      <c r="R22" s="15">
        <v>0.0</v>
      </c>
      <c r="S22" s="15">
        <v>0.0</v>
      </c>
      <c r="T22" s="15">
        <v>0.0</v>
      </c>
    </row>
    <row r="23" hidden="1">
      <c r="A23" s="7" t="s">
        <v>56</v>
      </c>
      <c r="B23" s="14">
        <v>1.0</v>
      </c>
      <c r="C23" s="14">
        <v>1.0</v>
      </c>
      <c r="D23" s="14">
        <v>1.0</v>
      </c>
      <c r="E23" s="3"/>
      <c r="F23" s="14">
        <v>1.0</v>
      </c>
      <c r="G23" s="14">
        <v>1.0</v>
      </c>
      <c r="H23" s="14">
        <v>1.0</v>
      </c>
      <c r="I23" s="14">
        <v>1.0</v>
      </c>
      <c r="J23" s="14">
        <v>1.0</v>
      </c>
      <c r="K23" s="14">
        <v>1.0</v>
      </c>
      <c r="L23" s="14">
        <v>1.0</v>
      </c>
      <c r="M23" s="15">
        <v>1.0</v>
      </c>
      <c r="N23" s="3"/>
      <c r="O23" s="14">
        <v>1.0</v>
      </c>
      <c r="P23" s="15">
        <v>1.0</v>
      </c>
      <c r="Q23" s="15">
        <v>1.0</v>
      </c>
      <c r="R23" s="15">
        <v>1.0</v>
      </c>
      <c r="S23" s="15">
        <v>0.0</v>
      </c>
      <c r="T23" s="15">
        <v>0.0</v>
      </c>
    </row>
    <row r="24">
      <c r="A24" s="7" t="s">
        <v>57</v>
      </c>
      <c r="B24" s="14">
        <v>1.0</v>
      </c>
      <c r="C24" s="14">
        <v>1.0</v>
      </c>
      <c r="D24" s="14">
        <v>0.0</v>
      </c>
      <c r="E24" s="3"/>
      <c r="F24" s="14">
        <v>1.0</v>
      </c>
      <c r="G24" s="14">
        <v>1.0</v>
      </c>
      <c r="H24" s="14">
        <v>1.0</v>
      </c>
      <c r="I24" s="14">
        <v>1.0</v>
      </c>
      <c r="J24" s="14">
        <v>0.0</v>
      </c>
      <c r="K24" s="14">
        <v>0.0</v>
      </c>
      <c r="L24" s="14">
        <v>0.0</v>
      </c>
      <c r="M24" s="15">
        <v>0.0</v>
      </c>
      <c r="N24" s="3"/>
      <c r="O24" s="14">
        <v>0.0</v>
      </c>
      <c r="P24" s="15">
        <v>0.0</v>
      </c>
      <c r="Q24" s="15">
        <v>0.0</v>
      </c>
      <c r="R24" s="15">
        <v>0.0</v>
      </c>
      <c r="S24" s="15">
        <v>0.0</v>
      </c>
      <c r="T24" s="15">
        <v>0.0</v>
      </c>
    </row>
    <row r="25" hidden="1">
      <c r="A25" s="7" t="s">
        <v>58</v>
      </c>
      <c r="B25" s="14">
        <v>1.0</v>
      </c>
      <c r="C25" s="14">
        <v>1.0</v>
      </c>
      <c r="D25" s="14">
        <v>1.0</v>
      </c>
      <c r="E25" s="3"/>
      <c r="F25" s="14">
        <v>1.0</v>
      </c>
      <c r="G25" s="14">
        <v>1.0</v>
      </c>
      <c r="H25" s="14">
        <v>1.0</v>
      </c>
      <c r="I25" s="14">
        <v>1.0</v>
      </c>
      <c r="J25" s="14">
        <v>1.0</v>
      </c>
      <c r="K25" s="14">
        <v>1.0</v>
      </c>
      <c r="L25" s="14">
        <v>1.0</v>
      </c>
      <c r="M25" s="15">
        <v>1.0</v>
      </c>
      <c r="N25" s="3"/>
      <c r="O25" s="14">
        <v>0.0</v>
      </c>
      <c r="P25" s="15">
        <v>0.0</v>
      </c>
      <c r="Q25" s="15">
        <v>0.0</v>
      </c>
      <c r="R25" s="15">
        <v>0.0</v>
      </c>
      <c r="S25" s="15">
        <v>0.0</v>
      </c>
      <c r="T25" s="15">
        <v>0.0</v>
      </c>
    </row>
    <row r="26">
      <c r="A26" s="7" t="s">
        <v>59</v>
      </c>
      <c r="B26" s="14">
        <v>1.0</v>
      </c>
      <c r="C26" s="14">
        <v>1.0</v>
      </c>
      <c r="D26" s="14">
        <v>1.0</v>
      </c>
      <c r="E26" s="3" t="s">
        <v>60</v>
      </c>
      <c r="F26" s="14">
        <v>1.0</v>
      </c>
      <c r="G26" s="14">
        <v>1.0</v>
      </c>
      <c r="H26" s="14">
        <v>1.0</v>
      </c>
      <c r="I26" s="14">
        <v>1.0</v>
      </c>
      <c r="J26" s="14">
        <v>1.0</v>
      </c>
      <c r="K26" s="14">
        <v>0.0</v>
      </c>
      <c r="L26" s="14">
        <v>0.0</v>
      </c>
      <c r="M26" s="15">
        <v>0.0</v>
      </c>
      <c r="N26" s="3" t="s">
        <v>61</v>
      </c>
      <c r="O26" s="14">
        <v>0.0</v>
      </c>
      <c r="P26" s="15">
        <v>0.0</v>
      </c>
      <c r="Q26" s="15">
        <v>0.0</v>
      </c>
      <c r="R26" s="15">
        <v>0.0</v>
      </c>
      <c r="S26" s="15">
        <v>0.0</v>
      </c>
      <c r="T26" s="15">
        <v>0.0</v>
      </c>
    </row>
    <row r="27" hidden="1">
      <c r="A27" s="7" t="s">
        <v>62</v>
      </c>
      <c r="B27" s="14">
        <v>1.0</v>
      </c>
      <c r="C27" s="14">
        <v>1.0</v>
      </c>
      <c r="D27" s="14">
        <v>1.0</v>
      </c>
      <c r="E27" s="3"/>
      <c r="F27" s="14">
        <v>1.0</v>
      </c>
      <c r="G27" s="14">
        <v>1.0</v>
      </c>
      <c r="H27" s="14">
        <v>1.0</v>
      </c>
      <c r="I27" s="14">
        <v>1.0</v>
      </c>
      <c r="J27" s="14">
        <v>1.0</v>
      </c>
      <c r="K27" s="14">
        <v>1.0</v>
      </c>
      <c r="L27" s="14">
        <v>1.0</v>
      </c>
      <c r="M27" s="15">
        <v>1.0</v>
      </c>
      <c r="N27" s="3"/>
      <c r="O27" s="14">
        <v>1.0</v>
      </c>
      <c r="P27" s="15">
        <v>1.0</v>
      </c>
      <c r="Q27" s="15">
        <v>1.0</v>
      </c>
      <c r="R27" s="15">
        <v>1.0</v>
      </c>
      <c r="S27" s="15">
        <v>1.0</v>
      </c>
      <c r="T27" s="15">
        <v>1.0</v>
      </c>
    </row>
    <row r="28" hidden="1">
      <c r="A28" s="7" t="s">
        <v>63</v>
      </c>
      <c r="B28" s="14">
        <v>1.0</v>
      </c>
      <c r="C28" s="14">
        <v>1.0</v>
      </c>
      <c r="D28" s="14">
        <v>1.0</v>
      </c>
      <c r="E28" s="3" t="s">
        <v>60</v>
      </c>
      <c r="F28" s="14">
        <v>1.0</v>
      </c>
      <c r="G28" s="14">
        <v>1.0</v>
      </c>
      <c r="H28" s="14">
        <v>1.0</v>
      </c>
      <c r="I28" s="14">
        <v>1.0</v>
      </c>
      <c r="J28" s="14">
        <v>1.0</v>
      </c>
      <c r="K28" s="14">
        <v>1.0</v>
      </c>
      <c r="L28" s="14">
        <v>1.0</v>
      </c>
      <c r="M28" s="15">
        <v>1.0</v>
      </c>
      <c r="N28" s="3" t="s">
        <v>61</v>
      </c>
      <c r="O28" s="14">
        <v>1.0</v>
      </c>
      <c r="P28" s="15">
        <v>1.0</v>
      </c>
      <c r="Q28" s="15">
        <v>1.0</v>
      </c>
      <c r="R28" s="15">
        <v>0.0</v>
      </c>
      <c r="S28" s="15">
        <v>0.0</v>
      </c>
      <c r="T28" s="15">
        <v>0.0</v>
      </c>
    </row>
    <row r="29">
      <c r="A29" s="7" t="s">
        <v>64</v>
      </c>
      <c r="B29" s="14">
        <v>1.0</v>
      </c>
      <c r="C29" s="14">
        <v>1.0</v>
      </c>
      <c r="D29" s="14">
        <v>1.0</v>
      </c>
      <c r="E29" s="3" t="s">
        <v>65</v>
      </c>
      <c r="F29" s="14">
        <v>1.0</v>
      </c>
      <c r="G29" s="14">
        <v>1.0</v>
      </c>
      <c r="H29" s="14">
        <v>1.0</v>
      </c>
      <c r="I29" s="14">
        <v>1.0</v>
      </c>
      <c r="J29" s="14">
        <v>1.0</v>
      </c>
      <c r="K29" s="14">
        <v>0.0</v>
      </c>
      <c r="L29" s="14">
        <v>0.0</v>
      </c>
      <c r="M29" s="15">
        <v>1.0</v>
      </c>
      <c r="N29" s="3" t="s">
        <v>66</v>
      </c>
      <c r="O29" s="14">
        <v>0.0</v>
      </c>
      <c r="P29" s="15">
        <v>0.0</v>
      </c>
      <c r="Q29" s="15">
        <v>0.0</v>
      </c>
      <c r="R29" s="15">
        <v>0.0</v>
      </c>
      <c r="S29" s="15">
        <v>0.0</v>
      </c>
      <c r="T29" s="15">
        <v>0.0</v>
      </c>
    </row>
    <row r="30">
      <c r="A30" s="7" t="s">
        <v>67</v>
      </c>
      <c r="B30" s="14">
        <v>100.0</v>
      </c>
      <c r="C30" s="14">
        <v>100.0</v>
      </c>
      <c r="D30" s="14">
        <v>100.0</v>
      </c>
      <c r="E30" s="3" t="s">
        <v>68</v>
      </c>
      <c r="F30" s="14">
        <v>50.0</v>
      </c>
      <c r="G30" s="14">
        <v>50.0</v>
      </c>
      <c r="H30" s="14">
        <v>50.0</v>
      </c>
      <c r="I30" s="14">
        <v>50.0</v>
      </c>
      <c r="J30" s="14">
        <v>50.0</v>
      </c>
      <c r="K30" s="14">
        <v>50.0</v>
      </c>
      <c r="L30" s="14">
        <v>50.0</v>
      </c>
      <c r="M30" s="15">
        <v>50.0</v>
      </c>
      <c r="N30" s="3" t="s">
        <v>69</v>
      </c>
      <c r="O30" s="14">
        <v>50.0</v>
      </c>
      <c r="P30" s="15">
        <v>50.0</v>
      </c>
      <c r="Q30" s="15">
        <v>50.0</v>
      </c>
      <c r="R30" s="15">
        <v>50.0</v>
      </c>
      <c r="S30" s="15">
        <v>50.0</v>
      </c>
      <c r="T30" s="15">
        <v>0.0</v>
      </c>
    </row>
    <row r="31">
      <c r="A31" s="7" t="s">
        <v>70</v>
      </c>
      <c r="B31" s="14">
        <v>40.0</v>
      </c>
      <c r="C31" s="14">
        <v>40.0</v>
      </c>
      <c r="D31" s="14">
        <v>40.0</v>
      </c>
      <c r="E31" s="3" t="s">
        <v>71</v>
      </c>
      <c r="F31" s="14">
        <v>6.0</v>
      </c>
      <c r="G31" s="14">
        <v>6.0</v>
      </c>
      <c r="H31" s="14">
        <v>0.0</v>
      </c>
      <c r="I31" s="14">
        <v>0.0</v>
      </c>
      <c r="J31" s="14">
        <v>0.0</v>
      </c>
      <c r="K31" s="14">
        <v>0.0</v>
      </c>
      <c r="L31" s="14">
        <v>0.0</v>
      </c>
      <c r="M31" s="15">
        <v>0.0</v>
      </c>
      <c r="N31" s="3" t="s">
        <v>72</v>
      </c>
      <c r="O31" s="14">
        <v>0.0</v>
      </c>
      <c r="P31" s="15">
        <v>0.0</v>
      </c>
      <c r="Q31" s="15">
        <v>0.0</v>
      </c>
      <c r="R31" s="15">
        <v>0.0</v>
      </c>
      <c r="S31" s="15">
        <v>0.0</v>
      </c>
      <c r="T31" s="15">
        <v>0.0</v>
      </c>
    </row>
    <row r="32">
      <c r="A32" s="7" t="s">
        <v>73</v>
      </c>
      <c r="B32" s="14">
        <v>1.0</v>
      </c>
      <c r="C32" s="14">
        <v>1.0</v>
      </c>
      <c r="D32" s="14">
        <v>1.0</v>
      </c>
      <c r="E32" s="3" t="s">
        <v>74</v>
      </c>
      <c r="F32" s="14">
        <v>1.0</v>
      </c>
      <c r="G32" s="14">
        <v>1.0</v>
      </c>
      <c r="H32" s="14">
        <v>0.0</v>
      </c>
      <c r="I32" s="14">
        <v>0.0</v>
      </c>
      <c r="J32" s="14">
        <v>0.0</v>
      </c>
      <c r="K32" s="14">
        <v>0.0</v>
      </c>
      <c r="L32" s="14">
        <v>0.0</v>
      </c>
      <c r="M32" s="15">
        <v>0.0</v>
      </c>
      <c r="N32" s="3" t="s">
        <v>75</v>
      </c>
      <c r="O32" s="14">
        <v>0.0</v>
      </c>
      <c r="P32" s="15">
        <v>0.0</v>
      </c>
      <c r="Q32" s="15">
        <v>0.0</v>
      </c>
      <c r="R32" s="15">
        <v>0.0</v>
      </c>
      <c r="S32" s="15">
        <v>0.0</v>
      </c>
      <c r="T32" s="15">
        <v>0.0</v>
      </c>
    </row>
    <row r="33">
      <c r="A33" s="7" t="s">
        <v>76</v>
      </c>
      <c r="B33" s="14">
        <v>1.0</v>
      </c>
      <c r="C33" s="14">
        <v>1.0</v>
      </c>
      <c r="D33" s="14">
        <v>1.0</v>
      </c>
      <c r="E33" s="3" t="s">
        <v>77</v>
      </c>
      <c r="F33" s="14">
        <v>0.0</v>
      </c>
      <c r="G33" s="14">
        <v>0.0</v>
      </c>
      <c r="H33" s="14">
        <v>0.0</v>
      </c>
      <c r="I33" s="14">
        <v>0.0</v>
      </c>
      <c r="J33" s="14">
        <v>0.0</v>
      </c>
      <c r="K33" s="14">
        <v>0.0</v>
      </c>
      <c r="L33" s="14">
        <v>0.0</v>
      </c>
      <c r="M33" s="15">
        <v>0.0</v>
      </c>
      <c r="N33" s="3" t="s">
        <v>61</v>
      </c>
      <c r="O33" s="14">
        <v>0.0</v>
      </c>
      <c r="P33" s="15">
        <v>0.0</v>
      </c>
      <c r="Q33" s="15">
        <v>0.0</v>
      </c>
      <c r="R33" s="15">
        <v>0.0</v>
      </c>
      <c r="S33" s="15">
        <v>0.0</v>
      </c>
      <c r="T33" s="15">
        <v>0.0</v>
      </c>
    </row>
    <row r="34">
      <c r="A34" s="7" t="s">
        <v>78</v>
      </c>
      <c r="B34" s="14">
        <v>1.0</v>
      </c>
      <c r="C34" s="14">
        <v>1.0</v>
      </c>
      <c r="D34" s="14">
        <v>0.0</v>
      </c>
      <c r="E34" s="3" t="s">
        <v>60</v>
      </c>
      <c r="F34" s="14">
        <v>1.0</v>
      </c>
      <c r="G34" s="14">
        <v>1.0</v>
      </c>
      <c r="H34" s="14">
        <v>1.0</v>
      </c>
      <c r="I34" s="14">
        <v>1.0</v>
      </c>
      <c r="J34" s="14">
        <v>0.0</v>
      </c>
      <c r="K34" s="14">
        <v>0.0</v>
      </c>
      <c r="L34" s="14">
        <v>0.0</v>
      </c>
      <c r="M34" s="15">
        <v>0.0</v>
      </c>
      <c r="N34" s="3"/>
      <c r="O34" s="14">
        <v>0.0</v>
      </c>
      <c r="P34" s="15">
        <v>0.0</v>
      </c>
      <c r="Q34" s="15">
        <v>0.0</v>
      </c>
      <c r="R34" s="15">
        <v>0.0</v>
      </c>
      <c r="S34" s="15">
        <v>0.0</v>
      </c>
      <c r="T34" s="15">
        <v>0.0</v>
      </c>
    </row>
    <row r="35">
      <c r="A35" s="7" t="s">
        <v>79</v>
      </c>
      <c r="B35" s="14">
        <v>6.0</v>
      </c>
      <c r="C35" s="14">
        <v>6.0</v>
      </c>
      <c r="D35" s="14">
        <v>6.0</v>
      </c>
      <c r="E35" s="3"/>
      <c r="F35" s="14">
        <v>6.0</v>
      </c>
      <c r="G35" s="14">
        <v>6.0</v>
      </c>
      <c r="H35" s="14">
        <v>6.0</v>
      </c>
      <c r="I35" s="14">
        <v>0.0</v>
      </c>
      <c r="J35" s="14">
        <v>6.0</v>
      </c>
      <c r="K35" s="14">
        <v>6.0</v>
      </c>
      <c r="L35" s="14">
        <v>6.0</v>
      </c>
      <c r="M35" s="15">
        <v>0.0</v>
      </c>
      <c r="N35" s="3"/>
      <c r="O35" s="14">
        <v>6.0</v>
      </c>
      <c r="P35" s="15">
        <v>0.0</v>
      </c>
      <c r="Q35" s="15">
        <v>0.0</v>
      </c>
      <c r="R35" s="15">
        <v>0.0</v>
      </c>
      <c r="S35" s="15">
        <v>0.0</v>
      </c>
      <c r="T35" s="15">
        <v>0.0</v>
      </c>
    </row>
    <row r="36" hidden="1">
      <c r="A36" s="7" t="s">
        <v>80</v>
      </c>
      <c r="B36" s="10" t="str">
        <f t="shared" ref="B36:C36" si="21">C36</f>
        <v>EN13319</v>
      </c>
      <c r="C36" s="10" t="str">
        <f t="shared" si="21"/>
        <v>EN13319</v>
      </c>
      <c r="D36" s="10" t="s">
        <v>81</v>
      </c>
      <c r="E36" s="3"/>
      <c r="F36" s="13" t="s">
        <v>36</v>
      </c>
      <c r="G36" s="13" t="s">
        <v>36</v>
      </c>
      <c r="H36" s="13" t="s">
        <v>36</v>
      </c>
      <c r="I36" s="13" t="s">
        <v>36</v>
      </c>
      <c r="J36" s="13" t="s">
        <v>36</v>
      </c>
      <c r="K36" s="13" t="s">
        <v>36</v>
      </c>
      <c r="L36" s="13" t="s">
        <v>36</v>
      </c>
      <c r="M36" s="13" t="s">
        <v>36</v>
      </c>
      <c r="N36" s="3"/>
      <c r="O36" s="13" t="s">
        <v>36</v>
      </c>
      <c r="P36" s="13" t="s">
        <v>36</v>
      </c>
      <c r="Q36" s="13" t="s">
        <v>36</v>
      </c>
      <c r="R36" s="13" t="s">
        <v>36</v>
      </c>
      <c r="S36" s="13" t="s">
        <v>36</v>
      </c>
      <c r="T36" s="13" t="s">
        <v>36</v>
      </c>
    </row>
    <row r="37" hidden="1">
      <c r="A37" s="7" t="s">
        <v>82</v>
      </c>
      <c r="B37" s="10" t="str">
        <f t="shared" ref="B37:C37" si="22">C37</f>
        <v>810H</v>
      </c>
      <c r="C37" s="10" t="str">
        <f t="shared" si="22"/>
        <v>810H</v>
      </c>
      <c r="D37" s="10" t="s">
        <v>83</v>
      </c>
      <c r="E37" s="3"/>
      <c r="F37" s="13" t="s">
        <v>36</v>
      </c>
      <c r="G37" s="13" t="s">
        <v>36</v>
      </c>
      <c r="H37" s="13" t="s">
        <v>36</v>
      </c>
      <c r="I37" s="13" t="s">
        <v>36</v>
      </c>
      <c r="J37" s="13" t="s">
        <v>36</v>
      </c>
      <c r="K37" s="13" t="s">
        <v>36</v>
      </c>
      <c r="L37" s="13" t="s">
        <v>36</v>
      </c>
      <c r="M37" s="13" t="s">
        <v>36</v>
      </c>
      <c r="N37" s="3"/>
      <c r="O37" s="13" t="s">
        <v>36</v>
      </c>
      <c r="P37" s="13" t="s">
        <v>36</v>
      </c>
      <c r="Q37" s="13" t="s">
        <v>36</v>
      </c>
      <c r="R37" s="13" t="s">
        <v>36</v>
      </c>
      <c r="S37" s="13" t="s">
        <v>36</v>
      </c>
      <c r="T37" s="13" t="s">
        <v>36</v>
      </c>
    </row>
    <row r="38">
      <c r="A38" s="1" t="s">
        <v>84</v>
      </c>
      <c r="B38" s="18" t="str">
        <f t="shared" ref="B38:C38" si="23">C38</f>
        <v>GPS + Cellular</v>
      </c>
      <c r="C38" s="18" t="str">
        <f t="shared" si="23"/>
        <v>GPS + Cellular</v>
      </c>
      <c r="D38" s="18" t="s">
        <v>85</v>
      </c>
      <c r="E38" s="3"/>
      <c r="F38" s="19" t="str">
        <f>G38</f>
        <v>GPS or GPS + Cellular</v>
      </c>
      <c r="G38" s="19" t="str">
        <f t="shared" ref="G38:H38" si="24">$R$38</f>
        <v>GPS or GPS + Cellular</v>
      </c>
      <c r="H38" s="19" t="str">
        <f t="shared" si="24"/>
        <v>GPS or GPS + Cellular</v>
      </c>
      <c r="I38" s="19" t="str">
        <f>J38</f>
        <v>GPS or GPS + Cellular</v>
      </c>
      <c r="J38" s="19" t="str">
        <f t="shared" ref="J38:M38" si="25">$R$38</f>
        <v>GPS or GPS + Cellular</v>
      </c>
      <c r="K38" s="19" t="str">
        <f t="shared" si="25"/>
        <v>GPS or GPS + Cellular</v>
      </c>
      <c r="L38" s="19" t="str">
        <f t="shared" si="25"/>
        <v>GPS or GPS + Cellular</v>
      </c>
      <c r="M38" s="19" t="str">
        <f t="shared" si="25"/>
        <v>GPS or GPS + Cellular</v>
      </c>
      <c r="N38" s="3"/>
      <c r="O38" s="19" t="str">
        <f t="shared" ref="O38:P38" si="26">$R$38</f>
        <v>GPS or GPS + Cellular</v>
      </c>
      <c r="P38" s="19" t="str">
        <f t="shared" si="26"/>
        <v>GPS or GPS + Cellular</v>
      </c>
      <c r="Q38" s="19" t="s">
        <v>86</v>
      </c>
      <c r="R38" s="19" t="s">
        <v>86</v>
      </c>
      <c r="S38" s="23" t="s">
        <v>36</v>
      </c>
      <c r="T38" s="23" t="s">
        <v>36</v>
      </c>
      <c r="U38" s="22"/>
      <c r="V38" s="22"/>
    </row>
    <row r="39">
      <c r="A39" s="7" t="s">
        <v>87</v>
      </c>
      <c r="B39" s="14">
        <v>10.0</v>
      </c>
      <c r="C39" s="14">
        <v>9.0</v>
      </c>
      <c r="D39" s="16">
        <v>8.0</v>
      </c>
      <c r="E39" s="3"/>
      <c r="F39" s="14">
        <v>10.0</v>
      </c>
      <c r="G39" s="14">
        <v>10.0</v>
      </c>
      <c r="H39" s="14">
        <v>9.0</v>
      </c>
      <c r="I39" s="16">
        <v>10.0</v>
      </c>
      <c r="J39" s="16">
        <v>8.0</v>
      </c>
      <c r="K39" s="16">
        <v>7.0</v>
      </c>
      <c r="L39" s="16">
        <v>6.0</v>
      </c>
      <c r="M39" s="15">
        <v>8.0</v>
      </c>
      <c r="N39" s="3"/>
      <c r="O39" s="14">
        <v>5.0</v>
      </c>
      <c r="P39" s="15">
        <v>4.0</v>
      </c>
      <c r="Q39" s="15">
        <v>5.0</v>
      </c>
      <c r="R39" s="15">
        <v>3.0</v>
      </c>
      <c r="S39" s="15">
        <v>2.0</v>
      </c>
      <c r="T39" s="15">
        <v>1.0</v>
      </c>
    </row>
    <row r="40">
      <c r="A40" s="24" t="s">
        <v>88</v>
      </c>
      <c r="B40" s="25">
        <f t="shared" ref="B40:C40" si="27">G40</f>
        <v>11.934</v>
      </c>
      <c r="C40" s="25">
        <f t="shared" si="27"/>
        <v>11.934</v>
      </c>
      <c r="D40" s="25">
        <f>J40</f>
        <v>9.18</v>
      </c>
      <c r="E40" s="3"/>
      <c r="F40" s="25">
        <f t="shared" ref="F40:G40" si="28">G40</f>
        <v>11.934</v>
      </c>
      <c r="G40" s="25">
        <f t="shared" si="28"/>
        <v>11.934</v>
      </c>
      <c r="H40" s="25">
        <f>1.3*J40</f>
        <v>11.934</v>
      </c>
      <c r="I40" s="25">
        <f t="shared" ref="I40:I42" si="30">G40</f>
        <v>11.934</v>
      </c>
      <c r="J40" s="25">
        <f>K40</f>
        <v>9.18</v>
      </c>
      <c r="K40" s="25">
        <f>Q40*1.2</f>
        <v>9.18</v>
      </c>
      <c r="L40" s="25">
        <f>O40*1.2</f>
        <v>9.18</v>
      </c>
      <c r="M40" s="26">
        <f>1.2*Q40</f>
        <v>9.18</v>
      </c>
      <c r="N40" s="3"/>
      <c r="O40" s="25">
        <f>R40*2</f>
        <v>7.65</v>
      </c>
      <c r="P40" s="26">
        <f>R40*2</f>
        <v>7.65</v>
      </c>
      <c r="Q40" s="26">
        <f>O40</f>
        <v>7.65</v>
      </c>
      <c r="R40" s="26">
        <f>S40*1.7</f>
        <v>3.825</v>
      </c>
      <c r="S40" s="26">
        <f t="shared" ref="S40:T40" si="29">T40*1.5</f>
        <v>2.25</v>
      </c>
      <c r="T40" s="26">
        <f t="shared" si="29"/>
        <v>1.5</v>
      </c>
      <c r="U40" s="26">
        <v>1.0</v>
      </c>
      <c r="V40" s="27"/>
    </row>
    <row r="41" hidden="1">
      <c r="A41" s="7" t="s">
        <v>89</v>
      </c>
      <c r="B41" s="14">
        <f t="shared" ref="B41:B42" si="31">G41</f>
        <v>64</v>
      </c>
      <c r="C41" s="14">
        <v>64.0</v>
      </c>
      <c r="D41" s="14">
        <v>64.0</v>
      </c>
      <c r="E41" s="3"/>
      <c r="F41" s="14">
        <f t="shared" ref="F41:F42" si="32">G41</f>
        <v>64</v>
      </c>
      <c r="G41" s="14">
        <v>64.0</v>
      </c>
      <c r="H41" s="14">
        <v>64.0</v>
      </c>
      <c r="I41" s="14">
        <f t="shared" si="30"/>
        <v>64</v>
      </c>
      <c r="J41" s="14">
        <v>64.0</v>
      </c>
      <c r="K41" s="14">
        <v>64.0</v>
      </c>
      <c r="L41" s="14">
        <v>64.0</v>
      </c>
      <c r="M41" s="15">
        <v>64.0</v>
      </c>
      <c r="N41" s="3"/>
      <c r="O41" s="14">
        <v>64.0</v>
      </c>
      <c r="P41" s="15">
        <v>64.0</v>
      </c>
      <c r="Q41" s="15">
        <v>64.0</v>
      </c>
      <c r="R41" s="15">
        <v>32.0</v>
      </c>
      <c r="S41" s="15">
        <v>32.0</v>
      </c>
      <c r="T41" s="15">
        <v>32.0</v>
      </c>
    </row>
    <row r="42" hidden="1">
      <c r="A42" s="7" t="s">
        <v>90</v>
      </c>
      <c r="B42" s="14">
        <f t="shared" si="31"/>
        <v>2</v>
      </c>
      <c r="C42" s="14">
        <v>2.0</v>
      </c>
      <c r="D42" s="14">
        <v>2.0</v>
      </c>
      <c r="E42" s="3"/>
      <c r="F42" s="14">
        <f t="shared" si="32"/>
        <v>2</v>
      </c>
      <c r="G42" s="14">
        <v>2.0</v>
      </c>
      <c r="H42" s="14">
        <v>2.0</v>
      </c>
      <c r="I42" s="14">
        <f t="shared" si="30"/>
        <v>2</v>
      </c>
      <c r="J42" s="14">
        <v>2.0</v>
      </c>
      <c r="K42" s="14">
        <v>2.0</v>
      </c>
      <c r="L42" s="14">
        <v>2.0</v>
      </c>
      <c r="M42" s="15">
        <v>2.0</v>
      </c>
      <c r="N42" s="3"/>
      <c r="O42" s="14">
        <v>2.0</v>
      </c>
      <c r="P42" s="15">
        <v>2.0</v>
      </c>
      <c r="Q42" s="15">
        <v>2.0</v>
      </c>
      <c r="R42" s="15">
        <v>2.0</v>
      </c>
      <c r="S42" s="15">
        <v>2.0</v>
      </c>
      <c r="T42" s="15">
        <v>2.0</v>
      </c>
    </row>
    <row r="43">
      <c r="A43" s="7" t="s">
        <v>91</v>
      </c>
      <c r="B43" s="14">
        <v>1.0</v>
      </c>
      <c r="C43" s="14">
        <v>1.0</v>
      </c>
      <c r="D43" s="14">
        <v>0.0</v>
      </c>
      <c r="E43" s="3"/>
      <c r="F43" s="14">
        <v>1.0</v>
      </c>
      <c r="G43" s="14">
        <v>1.0</v>
      </c>
      <c r="H43" s="14">
        <v>1.0</v>
      </c>
      <c r="I43" s="14">
        <v>1.0</v>
      </c>
      <c r="J43" s="14">
        <v>0.0</v>
      </c>
      <c r="K43" s="14">
        <v>0.0</v>
      </c>
      <c r="L43" s="14">
        <v>0.0</v>
      </c>
      <c r="M43" s="15">
        <v>0.0</v>
      </c>
      <c r="N43" s="3"/>
      <c r="O43" s="14">
        <v>0.0</v>
      </c>
      <c r="P43" s="15">
        <v>0.0</v>
      </c>
      <c r="Q43" s="15">
        <v>0.0</v>
      </c>
      <c r="R43" s="15">
        <v>0.0</v>
      </c>
      <c r="S43" s="15">
        <v>0.0</v>
      </c>
      <c r="T43" s="15">
        <v>0.0</v>
      </c>
    </row>
    <row r="44">
      <c r="A44" s="7" t="s">
        <v>92</v>
      </c>
      <c r="B44" s="14">
        <v>42.0</v>
      </c>
      <c r="C44" s="14">
        <v>36.0</v>
      </c>
      <c r="D44" s="14">
        <v>36.0</v>
      </c>
      <c r="E44" s="3"/>
      <c r="F44" s="14">
        <v>24.0</v>
      </c>
      <c r="G44" s="14">
        <v>18.0</v>
      </c>
      <c r="H44" s="14">
        <v>18.0</v>
      </c>
      <c r="I44" s="14">
        <v>18.0</v>
      </c>
      <c r="J44" s="14">
        <v>18.0</v>
      </c>
      <c r="K44" s="14">
        <v>18.0</v>
      </c>
      <c r="L44" s="14">
        <v>18.0</v>
      </c>
      <c r="M44" s="15">
        <v>18.0</v>
      </c>
      <c r="N44" s="3"/>
      <c r="O44" s="14">
        <v>18.0</v>
      </c>
      <c r="P44" s="15">
        <v>18.0</v>
      </c>
      <c r="Q44" s="15">
        <v>18.0</v>
      </c>
      <c r="R44" s="15">
        <v>18.0</v>
      </c>
      <c r="S44" s="15">
        <v>18.0</v>
      </c>
      <c r="T44" s="15">
        <v>18.0</v>
      </c>
    </row>
    <row r="45">
      <c r="A45" s="7" t="s">
        <v>93</v>
      </c>
      <c r="B45" s="14">
        <v>72.0</v>
      </c>
      <c r="C45" s="14">
        <v>72.0</v>
      </c>
      <c r="D45" s="14">
        <v>72.0</v>
      </c>
      <c r="E45" s="3"/>
      <c r="F45" s="14">
        <v>38.0</v>
      </c>
      <c r="G45" s="14">
        <v>36.0</v>
      </c>
      <c r="H45" s="14">
        <v>36.0</v>
      </c>
      <c r="I45" s="14">
        <v>32.0</v>
      </c>
      <c r="J45" s="14">
        <v>0.0</v>
      </c>
      <c r="K45" s="14">
        <v>0.0</v>
      </c>
      <c r="L45" s="14">
        <v>0.0</v>
      </c>
      <c r="M45" s="15">
        <v>0.0</v>
      </c>
      <c r="N45" s="3"/>
      <c r="O45" s="14">
        <v>0.0</v>
      </c>
      <c r="P45" s="15">
        <v>0.0</v>
      </c>
      <c r="Q45" s="15">
        <v>0.0</v>
      </c>
      <c r="R45" s="15">
        <v>0.0</v>
      </c>
      <c r="S45" s="15">
        <v>0.0</v>
      </c>
      <c r="T45" s="15">
        <v>0.0</v>
      </c>
    </row>
    <row r="46">
      <c r="A46" s="7" t="s">
        <v>94</v>
      </c>
      <c r="B46" s="14">
        <v>45.0</v>
      </c>
      <c r="C46" s="14">
        <v>60.0</v>
      </c>
      <c r="D46" s="14">
        <v>60.0</v>
      </c>
      <c r="E46" s="3"/>
      <c r="F46" s="14">
        <v>30.0</v>
      </c>
      <c r="G46" s="14">
        <v>30.0</v>
      </c>
      <c r="H46" s="14">
        <v>45.0</v>
      </c>
      <c r="I46" s="14">
        <v>45.0</v>
      </c>
      <c r="J46" s="14">
        <v>45.0</v>
      </c>
      <c r="K46" s="14">
        <v>45.0</v>
      </c>
      <c r="L46" s="14">
        <v>120.0</v>
      </c>
      <c r="M46" s="15">
        <v>120.0</v>
      </c>
      <c r="N46" s="3"/>
      <c r="O46" s="14">
        <v>120.0</v>
      </c>
      <c r="P46" s="15">
        <v>120.0</v>
      </c>
      <c r="Q46" s="15">
        <v>120.0</v>
      </c>
      <c r="R46" s="15">
        <v>120.0</v>
      </c>
      <c r="S46" s="15">
        <v>120.0</v>
      </c>
      <c r="T46" s="15">
        <v>120.0</v>
      </c>
    </row>
    <row r="47">
      <c r="A47" s="1" t="s">
        <v>95</v>
      </c>
      <c r="B47" s="16" t="s">
        <v>36</v>
      </c>
      <c r="C47" s="16" t="s">
        <v>36</v>
      </c>
      <c r="D47" s="16" t="s">
        <v>36</v>
      </c>
      <c r="E47" s="3"/>
      <c r="F47" s="16" t="s">
        <v>96</v>
      </c>
      <c r="G47" s="16" t="s">
        <v>97</v>
      </c>
      <c r="H47" s="16" t="s">
        <v>98</v>
      </c>
      <c r="I47" s="16" t="s">
        <v>99</v>
      </c>
      <c r="J47" s="16" t="s">
        <v>100</v>
      </c>
      <c r="K47" s="16" t="s">
        <v>101</v>
      </c>
      <c r="L47" s="16" t="s">
        <v>102</v>
      </c>
      <c r="M47" s="20" t="s">
        <v>103</v>
      </c>
      <c r="N47" s="3"/>
      <c r="O47" s="16" t="str">
        <f t="shared" ref="O47:O48" si="33">P47</f>
        <v>midnight, starlight, silver</v>
      </c>
      <c r="P47" s="20" t="s">
        <v>103</v>
      </c>
      <c r="Q47" s="20" t="str">
        <f>R47</f>
        <v>space gray, silver, gold</v>
      </c>
      <c r="R47" s="20" t="s">
        <v>104</v>
      </c>
      <c r="S47" s="20" t="str">
        <f t="shared" ref="S47:S48" si="34">T47</f>
        <v>space gray, silver, rose gold, gold</v>
      </c>
      <c r="T47" s="20" t="s">
        <v>105</v>
      </c>
      <c r="U47" s="17"/>
      <c r="V47" s="17"/>
    </row>
    <row r="48">
      <c r="A48" s="1" t="s">
        <v>106</v>
      </c>
      <c r="B48" s="16" t="s">
        <v>36</v>
      </c>
      <c r="C48" s="16" t="s">
        <v>36</v>
      </c>
      <c r="D48" s="16" t="s">
        <v>36</v>
      </c>
      <c r="E48" s="3"/>
      <c r="F48" s="16" t="s">
        <v>36</v>
      </c>
      <c r="G48" s="16" t="s">
        <v>36</v>
      </c>
      <c r="H48" s="16" t="str">
        <f>L48</f>
        <v>graphite, silver, gold</v>
      </c>
      <c r="I48" s="16" t="s">
        <v>36</v>
      </c>
      <c r="J48" s="16" t="str">
        <f>L48</f>
        <v>graphite, silver, gold</v>
      </c>
      <c r="K48" s="16" t="str">
        <f>L48</f>
        <v>graphite, silver, gold</v>
      </c>
      <c r="L48" s="16" t="s">
        <v>107</v>
      </c>
      <c r="M48" s="20" t="s">
        <v>36</v>
      </c>
      <c r="N48" s="3"/>
      <c r="O48" s="16" t="str">
        <f t="shared" si="33"/>
        <v>space black, gold, silver</v>
      </c>
      <c r="P48" s="20" t="s">
        <v>108</v>
      </c>
      <c r="Q48" s="20" t="s">
        <v>36</v>
      </c>
      <c r="R48" s="20" t="str">
        <f>T48</f>
        <v>space black, silver</v>
      </c>
      <c r="S48" s="20" t="str">
        <f t="shared" si="34"/>
        <v>space black, silver</v>
      </c>
      <c r="T48" s="20" t="s">
        <v>109</v>
      </c>
      <c r="U48" s="17"/>
      <c r="V48" s="17"/>
    </row>
    <row r="49">
      <c r="A49" s="1" t="s">
        <v>110</v>
      </c>
      <c r="B49" s="16" t="s">
        <v>36</v>
      </c>
      <c r="C49" s="16" t="s">
        <v>36</v>
      </c>
      <c r="D49" s="16" t="s">
        <v>36</v>
      </c>
      <c r="E49" s="3"/>
      <c r="F49" s="16" t="s">
        <v>36</v>
      </c>
      <c r="G49" s="16" t="s">
        <v>36</v>
      </c>
      <c r="H49" s="16" t="s">
        <v>36</v>
      </c>
      <c r="I49" s="16" t="s">
        <v>36</v>
      </c>
      <c r="J49" s="16" t="s">
        <v>36</v>
      </c>
      <c r="K49" s="16" t="s">
        <v>36</v>
      </c>
      <c r="L49" s="16" t="s">
        <v>36</v>
      </c>
      <c r="M49" s="20" t="s">
        <v>36</v>
      </c>
      <c r="N49" s="3"/>
      <c r="O49" s="16" t="s">
        <v>111</v>
      </c>
      <c r="P49" s="20" t="s">
        <v>36</v>
      </c>
      <c r="Q49" s="20" t="s">
        <v>36</v>
      </c>
      <c r="R49" s="20" t="s">
        <v>112</v>
      </c>
      <c r="S49" s="20" t="s">
        <v>113</v>
      </c>
      <c r="T49" s="20" t="s">
        <v>36</v>
      </c>
      <c r="U49" s="17"/>
      <c r="V49" s="17"/>
    </row>
    <row r="50">
      <c r="A50" s="1" t="s">
        <v>114</v>
      </c>
      <c r="B50" s="16" t="s">
        <v>115</v>
      </c>
      <c r="C50" s="16" t="s">
        <v>115</v>
      </c>
      <c r="D50" s="16" t="s">
        <v>116</v>
      </c>
      <c r="E50" s="3"/>
      <c r="F50" s="16" t="s">
        <v>117</v>
      </c>
      <c r="G50" s="16" t="s">
        <v>117</v>
      </c>
      <c r="H50" s="16" t="s">
        <v>36</v>
      </c>
      <c r="I50" s="16" t="s">
        <v>36</v>
      </c>
      <c r="J50" s="16" t="s">
        <v>36</v>
      </c>
      <c r="K50" s="16" t="s">
        <v>118</v>
      </c>
      <c r="L50" s="16" t="s">
        <v>118</v>
      </c>
      <c r="M50" s="20" t="s">
        <v>36</v>
      </c>
      <c r="N50" s="3"/>
      <c r="O50" s="16" t="s">
        <v>118</v>
      </c>
      <c r="P50" s="20" t="s">
        <v>36</v>
      </c>
      <c r="Q50" s="20" t="s">
        <v>36</v>
      </c>
      <c r="R50" s="20" t="s">
        <v>36</v>
      </c>
      <c r="S50" s="20" t="s">
        <v>36</v>
      </c>
      <c r="T50" s="20" t="s">
        <v>36</v>
      </c>
      <c r="U50" s="17"/>
      <c r="V50" s="17"/>
    </row>
    <row r="51" hidden="1">
      <c r="A51" s="7" t="s">
        <v>119</v>
      </c>
      <c r="B51" s="14">
        <v>0.0</v>
      </c>
      <c r="C51" s="14">
        <v>0.0</v>
      </c>
      <c r="D51" s="14">
        <v>0.0</v>
      </c>
      <c r="E51" s="3"/>
      <c r="F51" s="14">
        <v>0.0</v>
      </c>
      <c r="G51" s="14">
        <v>0.0</v>
      </c>
      <c r="H51" s="14">
        <v>0.0</v>
      </c>
      <c r="I51" s="14">
        <v>0.0</v>
      </c>
      <c r="J51" s="14">
        <v>0.0</v>
      </c>
      <c r="K51" s="14">
        <v>0.0</v>
      </c>
      <c r="L51" s="14">
        <v>0.0</v>
      </c>
      <c r="M51" s="15">
        <v>0.0</v>
      </c>
      <c r="N51" s="3"/>
      <c r="O51" s="14">
        <v>0.0</v>
      </c>
      <c r="P51" s="15">
        <v>0.0</v>
      </c>
      <c r="Q51" s="15">
        <v>0.0</v>
      </c>
      <c r="R51" s="15">
        <v>0.0</v>
      </c>
      <c r="S51" s="15">
        <v>0.0</v>
      </c>
      <c r="T51" s="15">
        <v>1.0</v>
      </c>
    </row>
    <row r="52" hidden="1">
      <c r="A52" s="7" t="s">
        <v>120</v>
      </c>
      <c r="B52" s="14">
        <v>1.0</v>
      </c>
      <c r="C52" s="14">
        <v>1.0</v>
      </c>
      <c r="D52" s="14">
        <v>0.0</v>
      </c>
      <c r="E52" s="3"/>
      <c r="F52" s="14">
        <v>1.0</v>
      </c>
      <c r="G52" s="14">
        <v>1.0</v>
      </c>
      <c r="H52" s="14">
        <v>1.0</v>
      </c>
      <c r="I52" s="14">
        <v>0.0</v>
      </c>
      <c r="J52" s="14">
        <v>1.0</v>
      </c>
      <c r="K52" s="14">
        <v>1.0</v>
      </c>
      <c r="L52" s="14">
        <v>1.0</v>
      </c>
      <c r="M52" s="15">
        <v>0.0</v>
      </c>
      <c r="N52" s="3"/>
      <c r="O52" s="14">
        <v>1.0</v>
      </c>
      <c r="P52" s="15">
        <v>1.0</v>
      </c>
      <c r="Q52" s="15">
        <v>0.0</v>
      </c>
      <c r="R52" s="15">
        <v>1.0</v>
      </c>
      <c r="S52" s="15">
        <v>1.0</v>
      </c>
      <c r="T52" s="15">
        <v>1.0</v>
      </c>
    </row>
    <row r="53" hidden="1">
      <c r="A53" s="1" t="s">
        <v>121</v>
      </c>
      <c r="B53" s="16" t="str">
        <f t="shared" ref="B53:C53" si="35">C53</f>
        <v>Ceramic and sapphire crystal</v>
      </c>
      <c r="C53" s="16" t="str">
        <f t="shared" si="35"/>
        <v>Ceramic and sapphire crystal</v>
      </c>
      <c r="D53" s="16" t="s">
        <v>122</v>
      </c>
      <c r="E53" s="3"/>
      <c r="F53" s="16" t="s">
        <v>123</v>
      </c>
      <c r="G53" s="16" t="s">
        <v>123</v>
      </c>
      <c r="H53" s="16" t="str">
        <f>$O$53</f>
        <v>Ceramic and sapphire crystal</v>
      </c>
      <c r="I53" s="16" t="s">
        <v>124</v>
      </c>
      <c r="J53" s="16" t="str">
        <f t="shared" ref="J53:L53" si="36">$O$53</f>
        <v>Ceramic and sapphire crystal</v>
      </c>
      <c r="K53" s="16" t="str">
        <f t="shared" si="36"/>
        <v>Ceramic and sapphire crystal</v>
      </c>
      <c r="L53" s="16" t="str">
        <f t="shared" si="36"/>
        <v>Ceramic and sapphire crystal</v>
      </c>
      <c r="M53" s="16" t="s">
        <v>124</v>
      </c>
      <c r="N53" s="3"/>
      <c r="O53" s="16" t="s">
        <v>122</v>
      </c>
      <c r="P53" s="16" t="s">
        <v>122</v>
      </c>
      <c r="Q53" s="16" t="str">
        <f>S53</f>
        <v>Ceramic and sapphire crystal</v>
      </c>
      <c r="R53" s="16" t="s">
        <v>125</v>
      </c>
      <c r="S53" s="16" t="str">
        <f>T53</f>
        <v>Ceramic and sapphire crystal</v>
      </c>
      <c r="T53" s="16" t="s">
        <v>122</v>
      </c>
      <c r="U53" s="22"/>
      <c r="V53" s="22"/>
    </row>
    <row r="54" hidden="1">
      <c r="A54" s="7" t="s">
        <v>126</v>
      </c>
      <c r="B54" s="14">
        <v>3.0</v>
      </c>
      <c r="C54" s="14">
        <v>3.0</v>
      </c>
      <c r="D54" s="14">
        <v>3.0</v>
      </c>
      <c r="E54" s="3"/>
      <c r="F54" s="14">
        <v>3.0</v>
      </c>
      <c r="G54" s="14">
        <v>3.0</v>
      </c>
      <c r="H54" s="14">
        <v>3.0</v>
      </c>
      <c r="I54" s="14">
        <v>2.0</v>
      </c>
      <c r="J54" s="14">
        <v>3.0</v>
      </c>
      <c r="K54" s="14">
        <v>3.0</v>
      </c>
      <c r="L54" s="14">
        <v>3.0</v>
      </c>
      <c r="M54" s="15">
        <v>2.0</v>
      </c>
      <c r="N54" s="3"/>
      <c r="O54" s="14">
        <v>2.0</v>
      </c>
      <c r="P54" s="15">
        <v>2.0</v>
      </c>
      <c r="Q54" s="15">
        <v>2.0</v>
      </c>
      <c r="R54" s="15">
        <v>1.0</v>
      </c>
      <c r="S54" s="15">
        <v>1.0</v>
      </c>
      <c r="T54" s="15">
        <v>1.0</v>
      </c>
    </row>
    <row r="55">
      <c r="A55" s="7" t="s">
        <v>127</v>
      </c>
      <c r="B55" s="14">
        <v>1.0</v>
      </c>
      <c r="C55" s="14">
        <v>1.0</v>
      </c>
      <c r="D55" s="14">
        <v>1.0</v>
      </c>
      <c r="E55" s="3"/>
      <c r="F55" s="15">
        <v>0.0</v>
      </c>
      <c r="G55" s="15">
        <v>0.0</v>
      </c>
      <c r="H55" s="15">
        <v>0.0</v>
      </c>
      <c r="I55" s="15">
        <v>0.0</v>
      </c>
      <c r="J55" s="15">
        <v>0.0</v>
      </c>
      <c r="K55" s="15">
        <v>0.0</v>
      </c>
      <c r="L55" s="15">
        <v>0.0</v>
      </c>
      <c r="M55" s="15">
        <v>0.0</v>
      </c>
      <c r="N55" s="3"/>
      <c r="O55" s="15">
        <v>0.0</v>
      </c>
      <c r="P55" s="15">
        <v>0.0</v>
      </c>
      <c r="Q55" s="15">
        <v>0.0</v>
      </c>
      <c r="R55" s="15">
        <v>0.0</v>
      </c>
      <c r="S55" s="15">
        <v>0.0</v>
      </c>
      <c r="T55" s="15">
        <v>0.0</v>
      </c>
    </row>
    <row r="56">
      <c r="A56" s="7" t="s">
        <v>128</v>
      </c>
      <c r="B56" s="14">
        <v>1.0</v>
      </c>
      <c r="C56" s="14">
        <v>0.0</v>
      </c>
      <c r="D56" s="14">
        <v>0.0</v>
      </c>
      <c r="E56" s="3"/>
      <c r="F56" s="14">
        <v>0.0</v>
      </c>
      <c r="G56" s="14">
        <v>0.0</v>
      </c>
      <c r="H56" s="14">
        <v>0.0</v>
      </c>
      <c r="I56" s="14">
        <v>0.0</v>
      </c>
      <c r="J56" s="14">
        <v>0.0</v>
      </c>
      <c r="K56" s="14">
        <v>0.0</v>
      </c>
      <c r="L56" s="14">
        <v>0.0</v>
      </c>
      <c r="M56" s="15">
        <v>0.0</v>
      </c>
      <c r="N56" s="3"/>
      <c r="O56" s="14">
        <v>0.0</v>
      </c>
      <c r="P56" s="15">
        <v>0.0</v>
      </c>
      <c r="Q56" s="15">
        <v>0.0</v>
      </c>
      <c r="R56" s="15">
        <v>0.0</v>
      </c>
      <c r="S56" s="15">
        <v>0.0</v>
      </c>
      <c r="T56" s="15">
        <v>0.0</v>
      </c>
    </row>
    <row r="57">
      <c r="A57" s="7" t="s">
        <v>129</v>
      </c>
      <c r="B57" s="14">
        <v>1.0</v>
      </c>
      <c r="C57" s="14">
        <v>0.0</v>
      </c>
      <c r="D57" s="14">
        <v>0.0</v>
      </c>
      <c r="E57" s="3"/>
      <c r="F57" s="14">
        <v>1.0</v>
      </c>
      <c r="G57" s="14">
        <v>0.0</v>
      </c>
      <c r="H57" s="14">
        <v>0.0</v>
      </c>
      <c r="I57" s="14">
        <v>1.0</v>
      </c>
      <c r="J57" s="14">
        <v>0.0</v>
      </c>
      <c r="K57" s="14">
        <v>0.0</v>
      </c>
      <c r="L57" s="14">
        <v>0.0</v>
      </c>
      <c r="M57" s="15">
        <v>0.0</v>
      </c>
      <c r="N57" s="3"/>
      <c r="O57" s="14">
        <v>0.0</v>
      </c>
      <c r="P57" s="15">
        <v>0.0</v>
      </c>
      <c r="Q57" s="15">
        <v>0.0</v>
      </c>
      <c r="R57" s="15">
        <v>0.0</v>
      </c>
      <c r="S57" s="15">
        <v>0.0</v>
      </c>
      <c r="T57" s="15">
        <v>0.0</v>
      </c>
    </row>
    <row r="58">
      <c r="A58" s="7" t="s">
        <v>130</v>
      </c>
      <c r="B58" s="14">
        <v>1.0</v>
      </c>
      <c r="C58" s="14">
        <v>1.0</v>
      </c>
      <c r="D58" s="14">
        <v>1.0</v>
      </c>
      <c r="E58" s="3"/>
      <c r="F58" s="14">
        <v>1.0</v>
      </c>
      <c r="G58" s="14">
        <v>1.0</v>
      </c>
      <c r="H58" s="14">
        <v>1.0</v>
      </c>
      <c r="I58" s="14">
        <v>1.0</v>
      </c>
      <c r="J58" s="14">
        <v>1.0</v>
      </c>
      <c r="K58" s="14">
        <v>1.0</v>
      </c>
      <c r="L58" s="14">
        <v>1.0</v>
      </c>
      <c r="M58" s="15">
        <v>1.0</v>
      </c>
      <c r="N58" s="3"/>
      <c r="O58" s="14">
        <v>1.0</v>
      </c>
      <c r="P58" s="15">
        <v>1.0</v>
      </c>
      <c r="Q58" s="15">
        <v>1.0</v>
      </c>
      <c r="R58" s="15">
        <v>1.0</v>
      </c>
      <c r="S58" s="15">
        <v>0.0</v>
      </c>
      <c r="T58" s="15">
        <v>0.0</v>
      </c>
    </row>
    <row r="59" hidden="1">
      <c r="A59" s="7" t="s">
        <v>131</v>
      </c>
      <c r="B59" s="14">
        <v>0.0</v>
      </c>
      <c r="C59" s="14">
        <v>1.0</v>
      </c>
      <c r="D59" s="14">
        <v>1.0</v>
      </c>
      <c r="E59" s="3"/>
      <c r="F59" s="28">
        <v>0.0</v>
      </c>
      <c r="G59" s="14">
        <v>1.0</v>
      </c>
      <c r="H59" s="14">
        <v>1.0</v>
      </c>
      <c r="I59" s="28">
        <v>0.0</v>
      </c>
      <c r="J59" s="14">
        <v>1.0</v>
      </c>
      <c r="K59" s="14">
        <v>1.0</v>
      </c>
      <c r="L59" s="14">
        <v>1.0</v>
      </c>
      <c r="M59" s="15">
        <v>1.0</v>
      </c>
      <c r="N59" s="3"/>
      <c r="O59" s="14">
        <v>1.0</v>
      </c>
      <c r="P59" s="15">
        <v>1.0</v>
      </c>
      <c r="Q59" s="15">
        <v>1.0</v>
      </c>
      <c r="R59" s="15">
        <v>1.0</v>
      </c>
      <c r="S59" s="15">
        <v>0.0</v>
      </c>
      <c r="T59" s="15">
        <v>0.0</v>
      </c>
    </row>
    <row r="60">
      <c r="A60" s="7" t="s">
        <v>132</v>
      </c>
      <c r="B60" s="14">
        <v>2.0</v>
      </c>
      <c r="C60" s="14">
        <v>2.0</v>
      </c>
      <c r="D60" s="16">
        <v>2.0</v>
      </c>
      <c r="E60" s="3"/>
      <c r="F60" s="14">
        <v>1.0</v>
      </c>
      <c r="G60" s="14">
        <v>1.0</v>
      </c>
      <c r="H60" s="14">
        <v>1.0</v>
      </c>
      <c r="I60" s="14">
        <v>1.0</v>
      </c>
      <c r="J60" s="14">
        <v>1.0</v>
      </c>
      <c r="K60" s="14">
        <v>1.0</v>
      </c>
      <c r="L60" s="14">
        <v>1.0</v>
      </c>
      <c r="M60" s="15">
        <v>1.0</v>
      </c>
      <c r="N60" s="3"/>
      <c r="O60" s="14">
        <v>1.0</v>
      </c>
      <c r="P60" s="15">
        <v>1.0</v>
      </c>
      <c r="Q60" s="15">
        <v>1.0</v>
      </c>
      <c r="R60" s="15">
        <v>1.0</v>
      </c>
      <c r="S60" s="15">
        <v>1.0</v>
      </c>
      <c r="T60" s="15">
        <v>1.0</v>
      </c>
    </row>
    <row r="61">
      <c r="A61" s="7" t="s">
        <v>133</v>
      </c>
      <c r="B61" s="14">
        <v>1.0</v>
      </c>
      <c r="C61" s="14">
        <v>1.0</v>
      </c>
      <c r="D61" s="16">
        <v>0.0</v>
      </c>
      <c r="E61" s="3"/>
      <c r="F61" s="14">
        <v>1.0</v>
      </c>
      <c r="G61" s="14">
        <v>1.0</v>
      </c>
      <c r="H61" s="14">
        <v>0.0</v>
      </c>
      <c r="I61" s="14">
        <v>1.0</v>
      </c>
      <c r="J61" s="14">
        <v>0.0</v>
      </c>
      <c r="K61" s="14">
        <v>0.0</v>
      </c>
      <c r="L61" s="14">
        <v>0.0</v>
      </c>
      <c r="M61" s="15">
        <v>0.0</v>
      </c>
      <c r="N61" s="3"/>
      <c r="O61" s="14">
        <v>0.0</v>
      </c>
      <c r="P61" s="15">
        <v>0.0</v>
      </c>
      <c r="Q61" s="15">
        <v>0.0</v>
      </c>
      <c r="R61" s="15">
        <v>0.0</v>
      </c>
      <c r="S61" s="15">
        <v>0.0</v>
      </c>
      <c r="T61" s="15">
        <v>0.0</v>
      </c>
    </row>
    <row r="62">
      <c r="A62" s="1" t="s">
        <v>134</v>
      </c>
      <c r="B62" s="18" t="str">
        <f t="shared" ref="B62:C62" si="37">C62</f>
        <v>3 with beamforming</v>
      </c>
      <c r="C62" s="18" t="str">
        <f t="shared" si="37"/>
        <v>3 with beamforming</v>
      </c>
      <c r="D62" s="18" t="s">
        <v>135</v>
      </c>
      <c r="E62" s="3"/>
      <c r="F62" s="16" t="s">
        <v>136</v>
      </c>
      <c r="G62" s="16" t="s">
        <v>136</v>
      </c>
      <c r="H62" s="21">
        <v>1.0</v>
      </c>
      <c r="I62" s="16" t="s">
        <v>136</v>
      </c>
      <c r="J62" s="21">
        <v>1.0</v>
      </c>
      <c r="K62" s="21">
        <v>1.0</v>
      </c>
      <c r="L62" s="21">
        <v>1.0</v>
      </c>
      <c r="M62" s="21">
        <v>1.0</v>
      </c>
      <c r="N62" s="3"/>
      <c r="O62" s="21">
        <v>1.0</v>
      </c>
      <c r="P62" s="21">
        <v>1.0</v>
      </c>
      <c r="Q62" s="21">
        <v>1.0</v>
      </c>
      <c r="R62" s="21">
        <v>1.0</v>
      </c>
      <c r="S62" s="21">
        <v>1.0</v>
      </c>
      <c r="T62" s="21">
        <v>1.0</v>
      </c>
      <c r="U62" s="17"/>
      <c r="V62" s="17"/>
    </row>
    <row r="63">
      <c r="A63" s="7" t="s">
        <v>137</v>
      </c>
      <c r="B63" s="14">
        <v>64.0</v>
      </c>
      <c r="C63" s="14">
        <v>64.0</v>
      </c>
      <c r="D63" s="14">
        <v>32.0</v>
      </c>
      <c r="E63" s="3"/>
      <c r="F63" s="14">
        <v>64.0</v>
      </c>
      <c r="G63" s="14">
        <v>64.0</v>
      </c>
      <c r="H63" s="14">
        <v>64.0</v>
      </c>
      <c r="I63" s="14">
        <v>64.0</v>
      </c>
      <c r="J63" s="14">
        <v>32.0</v>
      </c>
      <c r="K63" s="14">
        <v>32.0</v>
      </c>
      <c r="L63" s="14">
        <v>32.0</v>
      </c>
      <c r="M63" s="15">
        <v>32.0</v>
      </c>
      <c r="N63" s="3"/>
      <c r="O63" s="14">
        <v>32.0</v>
      </c>
      <c r="P63" s="15">
        <v>16.0</v>
      </c>
      <c r="Q63" s="15">
        <v>32.0</v>
      </c>
      <c r="R63" s="15">
        <f>average(16, 8)</f>
        <v>12</v>
      </c>
      <c r="S63" s="15">
        <v>8.0</v>
      </c>
      <c r="T63" s="15">
        <v>8.0</v>
      </c>
    </row>
    <row r="64" hidden="1">
      <c r="A64" s="7" t="s">
        <v>138</v>
      </c>
      <c r="B64" s="10" t="s">
        <v>139</v>
      </c>
      <c r="C64" s="10" t="s">
        <v>139</v>
      </c>
      <c r="D64" s="10" t="s">
        <v>139</v>
      </c>
      <c r="E64" s="3"/>
      <c r="F64" s="10" t="s">
        <v>139</v>
      </c>
      <c r="G64" s="10" t="s">
        <v>139</v>
      </c>
      <c r="H64" s="10" t="s">
        <v>139</v>
      </c>
      <c r="I64" s="10" t="s">
        <v>139</v>
      </c>
      <c r="J64" s="10" t="s">
        <v>139</v>
      </c>
      <c r="K64" s="13" t="s">
        <v>140</v>
      </c>
      <c r="L64" s="13" t="s">
        <v>140</v>
      </c>
      <c r="M64" s="11" t="s">
        <v>139</v>
      </c>
      <c r="N64" s="3"/>
      <c r="O64" s="13" t="s">
        <v>140</v>
      </c>
      <c r="P64" s="13" t="s">
        <v>140</v>
      </c>
      <c r="Q64" s="13" t="s">
        <v>140</v>
      </c>
      <c r="R64" s="13" t="s">
        <v>140</v>
      </c>
      <c r="S64" s="13" t="s">
        <v>140</v>
      </c>
      <c r="T64" s="13" t="s">
        <v>140</v>
      </c>
    </row>
    <row r="65">
      <c r="A65" s="7" t="s">
        <v>141</v>
      </c>
      <c r="B65" s="14">
        <v>4.0</v>
      </c>
      <c r="C65" s="14">
        <v>4.0</v>
      </c>
      <c r="D65" s="15">
        <v>4.0</v>
      </c>
      <c r="E65" s="3"/>
      <c r="F65" s="15">
        <v>4.0</v>
      </c>
      <c r="G65" s="15">
        <v>4.0</v>
      </c>
      <c r="H65" s="15">
        <v>4.0</v>
      </c>
      <c r="I65" s="15">
        <v>4.0</v>
      </c>
      <c r="J65" s="15">
        <v>0.0</v>
      </c>
      <c r="K65" s="15">
        <v>0.0</v>
      </c>
      <c r="L65" s="14">
        <v>0.0</v>
      </c>
      <c r="M65" s="15">
        <v>0.0</v>
      </c>
      <c r="N65" s="3"/>
      <c r="O65" s="14">
        <v>0.0</v>
      </c>
      <c r="P65" s="15">
        <v>0.0</v>
      </c>
      <c r="Q65" s="15">
        <v>0.0</v>
      </c>
      <c r="R65" s="15">
        <v>0.0</v>
      </c>
      <c r="S65" s="15">
        <v>0.0</v>
      </c>
      <c r="T65" s="15">
        <v>0.0</v>
      </c>
    </row>
    <row r="66" hidden="1">
      <c r="A66" s="7" t="s">
        <v>142</v>
      </c>
      <c r="B66" s="10">
        <v>4.0</v>
      </c>
      <c r="C66" s="10">
        <v>4.0</v>
      </c>
      <c r="D66" s="11">
        <v>4.0</v>
      </c>
      <c r="E66" s="3"/>
      <c r="F66" s="10">
        <v>4.0</v>
      </c>
      <c r="G66" s="11">
        <v>4.0</v>
      </c>
      <c r="H66" s="11">
        <v>4.0</v>
      </c>
      <c r="I66" s="10">
        <v>4.0</v>
      </c>
      <c r="J66" s="11">
        <v>4.0</v>
      </c>
      <c r="K66" s="11">
        <v>4.0</v>
      </c>
      <c r="L66" s="10">
        <v>4.0</v>
      </c>
      <c r="M66" s="11">
        <v>4.0</v>
      </c>
      <c r="N66" s="3"/>
      <c r="O66" s="10">
        <v>4.0</v>
      </c>
      <c r="P66" s="11">
        <v>4.0</v>
      </c>
      <c r="Q66" s="11">
        <v>4.0</v>
      </c>
      <c r="R66" s="11">
        <v>4.0</v>
      </c>
      <c r="S66" s="11">
        <v>4.0</v>
      </c>
      <c r="T66" s="11">
        <v>4.0</v>
      </c>
    </row>
    <row r="67" hidden="1">
      <c r="A67" s="7" t="s">
        <v>143</v>
      </c>
      <c r="B67" s="14">
        <v>3.0</v>
      </c>
      <c r="C67" s="14">
        <v>3.0</v>
      </c>
      <c r="D67" s="14">
        <v>3.0</v>
      </c>
      <c r="E67" s="3"/>
      <c r="F67" s="14">
        <v>3.0</v>
      </c>
      <c r="G67" s="14">
        <v>3.0</v>
      </c>
      <c r="H67" s="14">
        <v>3.0</v>
      </c>
      <c r="I67" s="14">
        <v>3.0</v>
      </c>
      <c r="J67" s="14">
        <v>3.0</v>
      </c>
      <c r="K67" s="14">
        <v>3.0</v>
      </c>
      <c r="L67" s="14">
        <v>3.0</v>
      </c>
      <c r="M67" s="15">
        <v>3.0</v>
      </c>
      <c r="N67" s="3"/>
      <c r="O67" s="14">
        <v>3.0</v>
      </c>
      <c r="P67" s="15">
        <v>3.0</v>
      </c>
      <c r="Q67" s="15">
        <v>3.0</v>
      </c>
      <c r="R67" s="15">
        <v>2.0</v>
      </c>
      <c r="S67" s="15">
        <v>0.0</v>
      </c>
      <c r="T67" s="15">
        <v>0.0</v>
      </c>
    </row>
    <row r="68">
      <c r="A68" s="7" t="s">
        <v>144</v>
      </c>
      <c r="B68" s="14">
        <v>2.0</v>
      </c>
      <c r="C68" s="14">
        <v>2.0</v>
      </c>
      <c r="D68" s="14">
        <v>1.0</v>
      </c>
      <c r="E68" s="3"/>
      <c r="F68" s="14">
        <v>2.0</v>
      </c>
      <c r="G68" s="14">
        <v>2.0</v>
      </c>
      <c r="H68" s="14">
        <v>2.0</v>
      </c>
      <c r="I68" s="14">
        <v>0.0</v>
      </c>
      <c r="J68" s="14">
        <v>1.0</v>
      </c>
      <c r="K68" s="14">
        <v>1.0</v>
      </c>
      <c r="L68" s="14">
        <v>1.0</v>
      </c>
      <c r="M68" s="15">
        <v>0.0</v>
      </c>
      <c r="N68" s="3"/>
      <c r="O68" s="15">
        <v>0.0</v>
      </c>
      <c r="P68" s="15">
        <v>0.0</v>
      </c>
      <c r="Q68" s="15">
        <v>0.0</v>
      </c>
      <c r="R68" s="15">
        <v>0.0</v>
      </c>
      <c r="S68" s="15">
        <v>0.0</v>
      </c>
      <c r="T68" s="15">
        <v>0.0</v>
      </c>
    </row>
    <row r="69" hidden="1">
      <c r="A69" s="7" t="s">
        <v>145</v>
      </c>
      <c r="B69" s="14">
        <v>5.3</v>
      </c>
      <c r="C69" s="14">
        <v>5.3</v>
      </c>
      <c r="D69" s="14">
        <v>5.3</v>
      </c>
      <c r="E69" s="3"/>
      <c r="F69" s="14">
        <v>5.3</v>
      </c>
      <c r="G69" s="14">
        <v>5.3</v>
      </c>
      <c r="H69" s="14">
        <v>5.3</v>
      </c>
      <c r="I69" s="14">
        <v>5.3</v>
      </c>
      <c r="J69" s="14">
        <v>5.3</v>
      </c>
      <c r="K69" s="14">
        <v>5.0</v>
      </c>
      <c r="L69" s="14">
        <v>5.0</v>
      </c>
      <c r="M69" s="15">
        <v>5.3</v>
      </c>
      <c r="N69" s="3"/>
      <c r="O69" s="14">
        <v>5.0</v>
      </c>
      <c r="P69" s="15">
        <v>5.0</v>
      </c>
      <c r="Q69" s="15">
        <v>5.0</v>
      </c>
      <c r="R69" s="15">
        <v>4.2</v>
      </c>
      <c r="S69" s="15">
        <v>4.0</v>
      </c>
      <c r="T69" s="15">
        <v>4.0</v>
      </c>
    </row>
    <row r="70">
      <c r="A70" s="29" t="s">
        <v>146</v>
      </c>
      <c r="B70" s="15">
        <v>1.0</v>
      </c>
      <c r="C70" s="15">
        <v>1.0</v>
      </c>
      <c r="D70" s="15">
        <v>1.0</v>
      </c>
      <c r="E70" s="3"/>
      <c r="F70" s="15">
        <v>0.0</v>
      </c>
      <c r="G70" s="15">
        <v>0.0</v>
      </c>
      <c r="H70" s="15">
        <v>0.0</v>
      </c>
      <c r="I70" s="15">
        <v>0.0</v>
      </c>
      <c r="J70" s="15">
        <v>0.0</v>
      </c>
      <c r="K70" s="15">
        <v>0.0</v>
      </c>
      <c r="L70" s="15">
        <v>0.0</v>
      </c>
      <c r="M70" s="15">
        <v>0.0</v>
      </c>
      <c r="N70" s="3"/>
      <c r="O70" s="15">
        <v>0.0</v>
      </c>
      <c r="P70" s="15">
        <v>0.0</v>
      </c>
      <c r="Q70" s="15">
        <v>0.0</v>
      </c>
      <c r="R70" s="15">
        <v>0.0</v>
      </c>
      <c r="S70" s="15">
        <v>0.0</v>
      </c>
      <c r="T70" s="15">
        <v>0.0</v>
      </c>
    </row>
    <row r="71">
      <c r="A71" s="29" t="s">
        <v>147</v>
      </c>
      <c r="B71" s="15">
        <v>1.0</v>
      </c>
      <c r="C71" s="15">
        <v>1.0</v>
      </c>
      <c r="D71" s="15">
        <v>1.0</v>
      </c>
      <c r="E71" s="3"/>
      <c r="F71" s="15">
        <v>1.0</v>
      </c>
      <c r="G71" s="15">
        <v>1.0</v>
      </c>
      <c r="H71" s="15">
        <v>1.0</v>
      </c>
      <c r="I71" s="15">
        <v>1.0</v>
      </c>
      <c r="J71" s="15">
        <v>1.0</v>
      </c>
      <c r="K71" s="15">
        <v>1.0</v>
      </c>
      <c r="L71" s="15">
        <v>1.0</v>
      </c>
      <c r="M71" s="15">
        <v>1.0</v>
      </c>
      <c r="N71" s="3"/>
      <c r="O71" s="15">
        <v>1.0</v>
      </c>
      <c r="P71" s="15">
        <v>1.0</v>
      </c>
      <c r="Q71" s="15">
        <v>1.0</v>
      </c>
      <c r="R71" s="15">
        <v>1.0</v>
      </c>
      <c r="S71" s="15">
        <v>1.0</v>
      </c>
      <c r="T71" s="15">
        <v>1.0</v>
      </c>
    </row>
    <row r="72">
      <c r="A72" s="29" t="s">
        <v>148</v>
      </c>
      <c r="B72" s="15">
        <v>1.0</v>
      </c>
      <c r="C72" s="15">
        <v>1.0</v>
      </c>
      <c r="D72" s="15">
        <v>1.0</v>
      </c>
      <c r="E72" s="3"/>
      <c r="F72" s="15">
        <v>1.0</v>
      </c>
      <c r="G72" s="15">
        <v>1.0</v>
      </c>
      <c r="H72" s="15">
        <v>1.0</v>
      </c>
      <c r="I72" s="15">
        <v>1.0</v>
      </c>
      <c r="J72" s="15">
        <v>1.0</v>
      </c>
      <c r="K72" s="15">
        <v>1.0</v>
      </c>
      <c r="L72" s="15">
        <v>1.0</v>
      </c>
      <c r="M72" s="15">
        <v>1.0</v>
      </c>
      <c r="N72" s="3"/>
      <c r="O72" s="15">
        <v>1.0</v>
      </c>
      <c r="P72" s="15">
        <v>1.0</v>
      </c>
      <c r="Q72" s="15">
        <v>1.0</v>
      </c>
      <c r="R72" s="15">
        <v>1.0</v>
      </c>
      <c r="S72" s="15">
        <v>1.0</v>
      </c>
      <c r="T72" s="15">
        <v>0.0</v>
      </c>
    </row>
    <row r="73" hidden="1">
      <c r="A73" s="29" t="s">
        <v>149</v>
      </c>
      <c r="B73" s="15">
        <v>1.0</v>
      </c>
      <c r="C73" s="15">
        <v>1.0</v>
      </c>
      <c r="D73" s="15">
        <v>1.0</v>
      </c>
      <c r="E73" s="3"/>
      <c r="F73" s="15">
        <v>1.0</v>
      </c>
      <c r="G73" s="15">
        <v>1.0</v>
      </c>
      <c r="H73" s="15">
        <v>1.0</v>
      </c>
      <c r="I73" s="15">
        <v>1.0</v>
      </c>
      <c r="J73" s="15">
        <v>1.0</v>
      </c>
      <c r="K73" s="15">
        <v>1.0</v>
      </c>
      <c r="L73" s="15">
        <v>1.0</v>
      </c>
      <c r="M73" s="15">
        <v>1.0</v>
      </c>
      <c r="N73" s="3"/>
      <c r="O73" s="15">
        <v>1.0</v>
      </c>
      <c r="P73" s="15">
        <v>1.0</v>
      </c>
      <c r="Q73" s="15">
        <v>0.0</v>
      </c>
      <c r="R73" s="15">
        <v>1.0</v>
      </c>
      <c r="S73" s="15">
        <v>0.0</v>
      </c>
      <c r="T73" s="15">
        <v>0.0</v>
      </c>
    </row>
    <row r="74" hidden="1">
      <c r="A74" s="29" t="s">
        <v>150</v>
      </c>
      <c r="B74" s="15">
        <v>1.0</v>
      </c>
      <c r="C74" s="15">
        <v>1.0</v>
      </c>
      <c r="D74" s="15">
        <v>1.0</v>
      </c>
      <c r="E74" s="3"/>
      <c r="F74" s="15">
        <v>1.0</v>
      </c>
      <c r="G74" s="15">
        <v>1.0</v>
      </c>
      <c r="H74" s="15">
        <v>1.0</v>
      </c>
      <c r="I74" s="15">
        <v>1.0</v>
      </c>
      <c r="J74" s="15">
        <v>1.0</v>
      </c>
      <c r="K74" s="15">
        <v>1.0</v>
      </c>
      <c r="L74" s="15">
        <v>1.0</v>
      </c>
      <c r="M74" s="15">
        <v>1.0</v>
      </c>
      <c r="N74" s="3"/>
      <c r="O74" s="15">
        <v>1.0</v>
      </c>
      <c r="P74" s="15">
        <v>1.0</v>
      </c>
      <c r="Q74" s="15">
        <v>0.0</v>
      </c>
      <c r="R74" s="15">
        <v>1.0</v>
      </c>
      <c r="S74" s="15">
        <v>0.0</v>
      </c>
      <c r="T74" s="15">
        <v>0.0</v>
      </c>
    </row>
    <row r="75" hidden="1">
      <c r="A75" s="29" t="s">
        <v>151</v>
      </c>
      <c r="B75" s="15">
        <v>1.0</v>
      </c>
      <c r="C75" s="15">
        <v>1.0</v>
      </c>
      <c r="D75" s="15">
        <v>1.0</v>
      </c>
      <c r="E75" s="3"/>
      <c r="F75" s="15">
        <v>1.0</v>
      </c>
      <c r="G75" s="15">
        <v>1.0</v>
      </c>
      <c r="H75" s="15">
        <v>1.0</v>
      </c>
      <c r="I75" s="15">
        <v>1.0</v>
      </c>
      <c r="J75" s="15">
        <v>1.0</v>
      </c>
      <c r="K75" s="15">
        <v>1.0</v>
      </c>
      <c r="L75" s="15">
        <v>0.0</v>
      </c>
      <c r="M75" s="15">
        <v>0.0</v>
      </c>
      <c r="N75" s="3"/>
      <c r="O75" s="15">
        <v>0.0</v>
      </c>
      <c r="P75" s="15">
        <v>0.0</v>
      </c>
      <c r="Q75" s="15">
        <v>0.0</v>
      </c>
      <c r="R75" s="15">
        <v>0.0</v>
      </c>
      <c r="S75" s="15">
        <v>0.0</v>
      </c>
      <c r="T75" s="15">
        <v>0.0</v>
      </c>
    </row>
    <row r="76" hidden="1">
      <c r="A76" s="7" t="s">
        <v>152</v>
      </c>
      <c r="B76" s="14">
        <v>1.0</v>
      </c>
      <c r="C76" s="14">
        <v>1.0</v>
      </c>
      <c r="D76" s="14">
        <v>1.0</v>
      </c>
      <c r="E76" s="3"/>
      <c r="F76" s="14">
        <v>1.0</v>
      </c>
      <c r="G76" s="14">
        <v>1.0</v>
      </c>
      <c r="H76" s="14">
        <v>1.0</v>
      </c>
      <c r="I76" s="14">
        <v>1.0</v>
      </c>
      <c r="J76" s="14">
        <v>1.0</v>
      </c>
      <c r="K76" s="14">
        <v>1.0</v>
      </c>
      <c r="L76" s="14">
        <v>1.0</v>
      </c>
      <c r="M76" s="15">
        <v>1.0</v>
      </c>
      <c r="N76" s="3"/>
      <c r="O76" s="15">
        <v>0.0</v>
      </c>
      <c r="P76" s="15">
        <v>0.0</v>
      </c>
      <c r="Q76" s="15">
        <v>0.0</v>
      </c>
      <c r="R76" s="15">
        <v>0.0</v>
      </c>
      <c r="S76" s="15">
        <v>0.0</v>
      </c>
      <c r="T76" s="15">
        <v>0.0</v>
      </c>
    </row>
    <row r="77">
      <c r="A77" s="7" t="s">
        <v>153</v>
      </c>
      <c r="B77" s="18" t="str">
        <f t="shared" ref="B77:C77" si="38">C77</f>
        <v>Always on with range -500m to 9000m</v>
      </c>
      <c r="C77" s="18" t="str">
        <f t="shared" si="38"/>
        <v>Always on with range -500m to 9000m</v>
      </c>
      <c r="D77" s="18" t="s">
        <v>154</v>
      </c>
      <c r="E77" s="3"/>
      <c r="F77" s="30" t="str">
        <f>J77</f>
        <v>Always-on</v>
      </c>
      <c r="G77" s="30" t="str">
        <f>J77</f>
        <v>Always-on</v>
      </c>
      <c r="H77" s="30" t="str">
        <f>J77</f>
        <v>Always-on</v>
      </c>
      <c r="I77" s="30" t="str">
        <f>J77</f>
        <v>Always-on</v>
      </c>
      <c r="J77" s="30" t="s">
        <v>155</v>
      </c>
      <c r="K77" s="14" t="str">
        <f>R77</f>
        <v>Yes</v>
      </c>
      <c r="L77" s="14" t="str">
        <f>R77</f>
        <v>Yes</v>
      </c>
      <c r="M77" s="14" t="str">
        <f>Q77</f>
        <v>Yes</v>
      </c>
      <c r="N77" s="3"/>
      <c r="O77" s="14" t="str">
        <f>R77</f>
        <v>Yes</v>
      </c>
      <c r="P77" s="14" t="str">
        <f>R77</f>
        <v>Yes</v>
      </c>
      <c r="Q77" s="14" t="s">
        <v>140</v>
      </c>
      <c r="R77" s="14" t="s">
        <v>140</v>
      </c>
      <c r="S77" s="12" t="str">
        <f>T77</f>
        <v>N/A</v>
      </c>
      <c r="T77" s="12" t="s">
        <v>36</v>
      </c>
      <c r="U77" s="31"/>
      <c r="V77" s="31"/>
    </row>
    <row r="78" hidden="1">
      <c r="A78" s="29" t="s">
        <v>156</v>
      </c>
      <c r="B78" s="15">
        <v>1.0</v>
      </c>
      <c r="C78" s="15">
        <v>1.0</v>
      </c>
      <c r="D78" s="15">
        <v>1.0</v>
      </c>
      <c r="E78" s="3"/>
      <c r="F78" s="15">
        <v>1.0</v>
      </c>
      <c r="G78" s="15">
        <v>1.0</v>
      </c>
      <c r="H78" s="15">
        <v>1.0</v>
      </c>
      <c r="I78" s="15">
        <v>1.0</v>
      </c>
      <c r="J78" s="15">
        <v>1.0</v>
      </c>
      <c r="K78" s="15">
        <v>1.0</v>
      </c>
      <c r="L78" s="15">
        <v>1.0</v>
      </c>
      <c r="M78" s="15">
        <v>1.0</v>
      </c>
      <c r="N78" s="3"/>
      <c r="O78" s="15">
        <v>1.0</v>
      </c>
      <c r="P78" s="15">
        <v>1.0</v>
      </c>
      <c r="Q78" s="15">
        <v>1.0</v>
      </c>
      <c r="R78" s="15">
        <v>0.0</v>
      </c>
      <c r="S78" s="15">
        <v>0.0</v>
      </c>
      <c r="T78" s="15">
        <v>0.0</v>
      </c>
    </row>
    <row r="79" hidden="1">
      <c r="A79" s="29" t="s">
        <v>157</v>
      </c>
      <c r="B79" s="15">
        <v>1.0</v>
      </c>
      <c r="C79" s="15">
        <v>1.0</v>
      </c>
      <c r="D79" s="15">
        <v>1.0</v>
      </c>
      <c r="E79" s="3"/>
      <c r="F79" s="15">
        <v>1.0</v>
      </c>
      <c r="G79" s="15">
        <v>1.0</v>
      </c>
      <c r="H79" s="15">
        <v>1.0</v>
      </c>
      <c r="I79" s="15">
        <v>1.0</v>
      </c>
      <c r="J79" s="15">
        <v>1.0</v>
      </c>
      <c r="K79" s="15">
        <v>1.0</v>
      </c>
      <c r="L79" s="15">
        <v>1.0</v>
      </c>
      <c r="M79" s="15">
        <v>1.0</v>
      </c>
      <c r="N79" s="3"/>
      <c r="O79" s="15">
        <v>1.0</v>
      </c>
      <c r="P79" s="15">
        <v>1.0</v>
      </c>
      <c r="Q79" s="15">
        <v>1.0</v>
      </c>
      <c r="R79" s="15">
        <v>0.0</v>
      </c>
      <c r="S79" s="15">
        <v>0.0</v>
      </c>
      <c r="T79" s="15">
        <v>0.0</v>
      </c>
    </row>
    <row r="80">
      <c r="A80" s="29" t="s">
        <v>158</v>
      </c>
      <c r="B80" s="15">
        <v>1.0</v>
      </c>
      <c r="C80" s="15">
        <v>1.0</v>
      </c>
      <c r="D80" s="15">
        <v>1.0</v>
      </c>
      <c r="E80" s="3"/>
      <c r="F80" s="15">
        <v>1.0</v>
      </c>
      <c r="G80" s="15">
        <v>1.0</v>
      </c>
      <c r="H80" s="15">
        <v>1.0</v>
      </c>
      <c r="I80" s="15">
        <v>1.0</v>
      </c>
      <c r="J80" s="15">
        <v>1.0</v>
      </c>
      <c r="K80" s="15">
        <v>1.0</v>
      </c>
      <c r="L80" s="15">
        <v>1.0</v>
      </c>
      <c r="M80" s="15">
        <v>1.0</v>
      </c>
      <c r="N80" s="3"/>
      <c r="O80" s="15">
        <v>1.0</v>
      </c>
      <c r="P80" s="15">
        <v>0.0</v>
      </c>
      <c r="Q80" s="15">
        <v>1.0</v>
      </c>
      <c r="R80" s="15">
        <v>0.0</v>
      </c>
      <c r="S80" s="15">
        <v>0.0</v>
      </c>
      <c r="T80" s="15">
        <v>0.0</v>
      </c>
    </row>
    <row r="81">
      <c r="A81" s="29" t="s">
        <v>159</v>
      </c>
      <c r="B81" s="15">
        <v>1.0</v>
      </c>
      <c r="C81" s="15">
        <v>0.0</v>
      </c>
      <c r="D81" s="15">
        <v>0.0</v>
      </c>
      <c r="E81" s="3"/>
      <c r="F81" s="15">
        <v>0.0</v>
      </c>
      <c r="G81" s="15">
        <v>0.0</v>
      </c>
      <c r="H81" s="15">
        <v>0.0</v>
      </c>
      <c r="I81" s="15">
        <v>0.0</v>
      </c>
      <c r="J81" s="15">
        <v>0.0</v>
      </c>
      <c r="K81" s="15">
        <v>0.0</v>
      </c>
      <c r="L81" s="15">
        <v>0.0</v>
      </c>
      <c r="M81" s="15">
        <v>0.0</v>
      </c>
      <c r="N81" s="3"/>
      <c r="O81" s="15">
        <v>0.0</v>
      </c>
      <c r="P81" s="15">
        <v>0.0</v>
      </c>
      <c r="Q81" s="15">
        <v>0.0</v>
      </c>
      <c r="R81" s="15">
        <v>0.0</v>
      </c>
      <c r="S81" s="15">
        <v>0.0</v>
      </c>
      <c r="T81" s="15">
        <v>0.0</v>
      </c>
    </row>
    <row r="82" hidden="1">
      <c r="A82" s="29" t="s">
        <v>160</v>
      </c>
      <c r="B82" s="15">
        <v>1.0</v>
      </c>
      <c r="C82" s="15">
        <v>1.0</v>
      </c>
      <c r="D82" s="15">
        <v>1.0</v>
      </c>
      <c r="E82" s="3"/>
      <c r="F82" s="15">
        <v>1.0</v>
      </c>
      <c r="G82" s="15">
        <v>1.0</v>
      </c>
      <c r="H82" s="15">
        <v>1.0</v>
      </c>
      <c r="I82" s="15">
        <v>1.0</v>
      </c>
      <c r="J82" s="15">
        <v>1.0</v>
      </c>
      <c r="K82" s="15">
        <v>1.0</v>
      </c>
      <c r="L82" s="15">
        <v>1.0</v>
      </c>
      <c r="M82" s="15">
        <v>1.0</v>
      </c>
      <c r="N82" s="3"/>
      <c r="O82" s="15">
        <v>1.0</v>
      </c>
      <c r="P82" s="15">
        <v>1.0</v>
      </c>
      <c r="Q82" s="15">
        <v>1.0</v>
      </c>
      <c r="R82" s="15">
        <v>0.0</v>
      </c>
      <c r="S82" s="15">
        <v>0.0</v>
      </c>
      <c r="T82" s="15">
        <v>0.0</v>
      </c>
    </row>
    <row r="83">
      <c r="A83" s="29" t="s">
        <v>161</v>
      </c>
      <c r="B83" s="15">
        <v>1.0</v>
      </c>
      <c r="C83" s="15">
        <v>1.0</v>
      </c>
      <c r="D83" s="15">
        <v>1.0</v>
      </c>
      <c r="E83" s="3"/>
      <c r="F83" s="15">
        <v>0.0</v>
      </c>
      <c r="G83" s="15">
        <v>0.0</v>
      </c>
      <c r="H83" s="15">
        <v>0.0</v>
      </c>
      <c r="I83" s="15">
        <v>0.0</v>
      </c>
      <c r="J83" s="15">
        <v>0.0</v>
      </c>
      <c r="K83" s="15">
        <v>0.0</v>
      </c>
      <c r="L83" s="15">
        <v>0.0</v>
      </c>
      <c r="M83" s="15">
        <v>0.0</v>
      </c>
      <c r="N83" s="3"/>
      <c r="O83" s="15">
        <v>0.0</v>
      </c>
      <c r="P83" s="15">
        <v>0.0</v>
      </c>
      <c r="Q83" s="15">
        <v>0.0</v>
      </c>
      <c r="R83" s="15">
        <v>0.0</v>
      </c>
      <c r="S83" s="15">
        <v>0.0</v>
      </c>
      <c r="T83" s="15">
        <v>0.0</v>
      </c>
    </row>
    <row r="84">
      <c r="A84" s="32"/>
      <c r="E84" s="3"/>
      <c r="N84" s="3"/>
    </row>
    <row r="85">
      <c r="A85" s="32"/>
      <c r="E85" s="3"/>
      <c r="N85" s="3"/>
    </row>
    <row r="86">
      <c r="A86" s="29" t="s">
        <v>162</v>
      </c>
      <c r="B86" s="15" t="s">
        <v>36</v>
      </c>
      <c r="C86" s="15" t="s">
        <v>36</v>
      </c>
      <c r="D86" s="15" t="s">
        <v>36</v>
      </c>
      <c r="E86" s="3"/>
      <c r="F86" s="20" t="str">
        <f t="shared" ref="F86:H86" si="39">$R$86</f>
        <v>Some color options are specific to the watch with cellular or watch without cellular</v>
      </c>
      <c r="G86" s="20" t="str">
        <f t="shared" si="39"/>
        <v>Some color options are specific to the watch with cellular or watch without cellular</v>
      </c>
      <c r="H86" s="20" t="str">
        <f t="shared" si="39"/>
        <v>Some color options are specific to the watch with cellular or watch without cellular</v>
      </c>
      <c r="I86" s="20" t="s">
        <v>163</v>
      </c>
      <c r="J86" s="20" t="str">
        <f t="shared" ref="J86:L86" si="40">$R$86</f>
        <v>Some color options are specific to the watch with cellular or watch without cellular</v>
      </c>
      <c r="K86" s="20" t="str">
        <f t="shared" si="40"/>
        <v>Some color options are specific to the watch with cellular or watch without cellular</v>
      </c>
      <c r="L86" s="20" t="str">
        <f t="shared" si="40"/>
        <v>Some color options are specific to the watch with cellular or watch without cellular</v>
      </c>
      <c r="M86" s="15" t="s">
        <v>36</v>
      </c>
      <c r="N86" s="3"/>
      <c r="O86" s="20" t="str">
        <f t="shared" ref="O86:P86" si="41">$R$86</f>
        <v>Some color options are specific to the watch with cellular or watch without cellular</v>
      </c>
      <c r="P86" s="20" t="str">
        <f t="shared" si="41"/>
        <v>Some color options are specific to the watch with cellular or watch without cellular</v>
      </c>
      <c r="Q86" s="15" t="s">
        <v>36</v>
      </c>
      <c r="R86" s="20" t="s">
        <v>164</v>
      </c>
      <c r="S86" s="15" t="s">
        <v>36</v>
      </c>
      <c r="T86" s="15" t="s">
        <v>36</v>
      </c>
    </row>
    <row r="87">
      <c r="A87" s="32"/>
      <c r="E87" s="3"/>
      <c r="N87" s="3"/>
    </row>
    <row r="88">
      <c r="A88" s="32"/>
      <c r="E88" s="3"/>
      <c r="F88" s="20"/>
      <c r="N88" s="3"/>
    </row>
    <row r="89">
      <c r="A89" s="32"/>
      <c r="E89" s="3"/>
      <c r="F89" s="20"/>
      <c r="N89" s="3"/>
    </row>
    <row r="90">
      <c r="A90" s="32"/>
      <c r="E90" s="3"/>
      <c r="H90" s="33" t="s">
        <v>165</v>
      </c>
      <c r="I90" s="34"/>
      <c r="J90" s="34"/>
      <c r="K90" s="35"/>
      <c r="N90" s="3"/>
    </row>
    <row r="91">
      <c r="A91" s="32"/>
      <c r="E91" s="3"/>
      <c r="H91" s="36" t="s">
        <v>166</v>
      </c>
      <c r="I91" s="37"/>
      <c r="J91" s="37"/>
      <c r="K91" s="38"/>
      <c r="N91" s="3"/>
    </row>
    <row r="92">
      <c r="A92" s="32"/>
      <c r="E92" s="3"/>
      <c r="H92" s="39" t="s">
        <v>167</v>
      </c>
      <c r="I92" s="37"/>
      <c r="J92" s="37"/>
      <c r="K92" s="38"/>
      <c r="N92" s="3"/>
    </row>
    <row r="93">
      <c r="A93" s="32"/>
      <c r="E93" s="3"/>
      <c r="H93" s="40" t="s">
        <v>168</v>
      </c>
      <c r="I93" s="37"/>
      <c r="J93" s="37"/>
      <c r="K93" s="38"/>
      <c r="N93" s="3"/>
    </row>
    <row r="94">
      <c r="A94" s="32"/>
      <c r="E94" s="3"/>
      <c r="H94" s="40" t="s">
        <v>169</v>
      </c>
      <c r="I94" s="37"/>
      <c r="J94" s="37"/>
      <c r="K94" s="38"/>
      <c r="N94" s="3"/>
    </row>
    <row r="95">
      <c r="A95" s="32"/>
      <c r="E95" s="3"/>
      <c r="H95" s="41" t="s">
        <v>170</v>
      </c>
      <c r="I95" s="37"/>
      <c r="J95" s="37"/>
      <c r="K95" s="38"/>
      <c r="N95" s="3"/>
    </row>
    <row r="96">
      <c r="A96" s="32"/>
      <c r="E96" s="3"/>
      <c r="H96" s="42" t="s">
        <v>171</v>
      </c>
      <c r="I96" s="43"/>
      <c r="J96" s="43"/>
      <c r="K96" s="44"/>
      <c r="N96" s="3"/>
    </row>
    <row r="97">
      <c r="A97" s="32"/>
      <c r="E97" s="3"/>
      <c r="H97" s="45"/>
      <c r="I97" s="45"/>
      <c r="J97" s="45"/>
      <c r="K97" s="45"/>
      <c r="L97" s="45"/>
      <c r="M97" s="45"/>
      <c r="N97" s="3"/>
    </row>
  </sheetData>
  <conditionalFormatting sqref="B30:M30 O30:T3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31:M31 O31:T3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32:M34 O32:T34 N34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1:N97 B15:M15 O15:T15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39:T39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45:T45">
    <cfRule type="colorScale" priority="6">
      <colorScale>
        <cfvo type="min"/>
        <cfvo type="max"/>
        <color rgb="FFFFFFFF"/>
        <color rgb="FF57BB8A"/>
      </colorScale>
    </cfRule>
  </conditionalFormatting>
  <conditionalFormatting sqref="B44:T44">
    <cfRule type="colorScale" priority="7">
      <colorScale>
        <cfvo type="min"/>
        <cfvo type="max"/>
        <color rgb="FFFFFFFF"/>
        <color rgb="FF57BB8A"/>
      </colorScale>
    </cfRule>
  </conditionalFormatting>
  <conditionalFormatting sqref="B43:T43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46:T46">
    <cfRule type="colorScale" priority="9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B54:T54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52:T52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60:T60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65:T65">
    <cfRule type="colorScale" priority="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67:T67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78:T83">
    <cfRule type="colorScale" priority="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2:M2 O2:U2 N29">
    <cfRule type="colorScale" priority="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35:T35">
    <cfRule type="colorScale" priority="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1:N97 B14:M14 O14:T14">
    <cfRule type="colorScale" priority="1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63:T63">
    <cfRule type="colorScale" priority="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76:T76">
    <cfRule type="colorScale" priority="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51:T51">
    <cfRule type="colorScale" priority="2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11:M11 O11:T11">
    <cfRule type="colorScale" priority="2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70:T75">
    <cfRule type="colorScale" priority="2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69:T69">
    <cfRule type="colorScale" priority="2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40:U40">
    <cfRule type="colorScale" priority="2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41:T41">
    <cfRule type="colorScale" priority="2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4:M5 O4:T5 N29:N32">
    <cfRule type="colorScale" priority="27">
      <colorScale>
        <cfvo type="min"/>
        <cfvo type="max"/>
        <color rgb="FFFFFFFF"/>
        <color rgb="FF57BB8A"/>
      </colorScale>
    </cfRule>
  </conditionalFormatting>
  <conditionalFormatting sqref="B13:T13">
    <cfRule type="colorScale" priority="2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68:D68 F68:M68 O68:T68">
    <cfRule type="colorScale" priority="2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56:T58">
    <cfRule type="colorScale" priority="3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55:T55">
    <cfRule type="colorScale" priority="31">
      <colorScale>
        <cfvo type="min"/>
        <cfvo type="max"/>
        <color rgb="FFFFFFFF"/>
        <color rgb="FF57BB8A"/>
      </colorScale>
    </cfRule>
  </conditionalFormatting>
  <conditionalFormatting sqref="B59:T59">
    <cfRule type="colorScale" priority="32">
      <colorScale>
        <cfvo type="min"/>
        <cfvo type="max"/>
        <color rgb="FFFFFFFF"/>
        <color rgb="FF57BB8A"/>
      </colorScale>
    </cfRule>
  </conditionalFormatting>
  <conditionalFormatting sqref="B61:T61">
    <cfRule type="colorScale" priority="3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18:T21">
    <cfRule type="colorScale" priority="3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23:T29">
    <cfRule type="colorScale" priority="3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22:T22">
    <cfRule type="colorScale" priority="3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9:T9">
    <cfRule type="colorScale" priority="3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8:T8">
    <cfRule type="colorScale" priority="3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6:T6">
    <cfRule type="colorScale" priority="3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7:T7">
    <cfRule type="colorScale" priority="4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hyperlinks>
    <hyperlink r:id="rId1" ref="B1"/>
    <hyperlink r:id="rId2" ref="C1"/>
    <hyperlink r:id="rId3" ref="D1"/>
    <hyperlink r:id="rId4" ref="F1"/>
    <hyperlink r:id="rId5" ref="G1"/>
    <hyperlink r:id="rId6" ref="H1"/>
    <hyperlink r:id="rId7" ref="I1"/>
    <hyperlink r:id="rId8" ref="J1"/>
    <hyperlink r:id="rId9" ref="K1"/>
    <hyperlink r:id="rId10" ref="L1"/>
    <hyperlink r:id="rId11" ref="M1"/>
    <hyperlink r:id="rId12" ref="O1"/>
    <hyperlink r:id="rId13" ref="P1"/>
    <hyperlink r:id="rId14" ref="Q1"/>
    <hyperlink r:id="rId15" location="Collections_and_materials" ref="A17"/>
    <hyperlink r:id="rId16" ref="A40"/>
    <hyperlink r:id="rId17" ref="H92"/>
    <hyperlink r:id="rId18" ref="H93"/>
    <hyperlink r:id="rId19" ref="H94"/>
    <hyperlink r:id="rId20" ref="H95"/>
    <hyperlink r:id="rId21" ref="H96"/>
  </hyperlinks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0.5"/>
    <col customWidth="1" min="2" max="2" width="11.13"/>
    <col customWidth="1" min="3" max="3" width="11.5"/>
    <col customWidth="1" min="4" max="4" width="11.13"/>
    <col customWidth="1" min="5" max="5" width="2.75"/>
    <col customWidth="1" min="6" max="6" width="11.88"/>
    <col customWidth="1" min="7" max="7" width="11.25"/>
    <col customWidth="1" min="8" max="8" width="11.38"/>
    <col customWidth="1" min="9" max="9" width="13.5"/>
    <col customWidth="1" min="10" max="10" width="11.0"/>
    <col customWidth="1" min="11" max="11" width="11.25"/>
    <col customWidth="1" min="12" max="12" width="11.0"/>
    <col customWidth="1" min="13" max="13" width="11.88"/>
    <col customWidth="1" min="14" max="14" width="7.63"/>
    <col customWidth="1" min="15" max="15" width="11.75"/>
    <col customWidth="1" min="16" max="16" width="11.25"/>
    <col customWidth="1" min="17" max="17" width="11.0"/>
    <col customWidth="1" min="18" max="19" width="11.25"/>
    <col customWidth="1" min="20" max="20" width="11.5"/>
    <col customWidth="1" min="21" max="21" width="11.25"/>
  </cols>
  <sheetData>
    <row r="1">
      <c r="A1" s="1" t="s">
        <v>0</v>
      </c>
      <c r="B1" s="2" t="s">
        <v>172</v>
      </c>
      <c r="C1" s="2" t="s">
        <v>173</v>
      </c>
      <c r="D1" s="2" t="s">
        <v>3</v>
      </c>
      <c r="E1" s="3"/>
      <c r="F1" s="2" t="s">
        <v>174</v>
      </c>
      <c r="G1" s="2" t="s">
        <v>175</v>
      </c>
      <c r="H1" s="2" t="s">
        <v>176</v>
      </c>
      <c r="I1" s="2" t="s">
        <v>177</v>
      </c>
      <c r="J1" s="2" t="s">
        <v>8</v>
      </c>
      <c r="K1" s="2" t="s">
        <v>9</v>
      </c>
      <c r="L1" s="2" t="s">
        <v>10</v>
      </c>
      <c r="M1" s="4" t="s">
        <v>11</v>
      </c>
      <c r="N1" s="3"/>
      <c r="O1" s="2" t="s">
        <v>12</v>
      </c>
      <c r="P1" s="4" t="s">
        <v>13</v>
      </c>
      <c r="Q1" s="4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6"/>
    </row>
    <row r="2">
      <c r="A2" s="7" t="s">
        <v>19</v>
      </c>
      <c r="B2" s="8">
        <v>45919.0</v>
      </c>
      <c r="C2" s="8">
        <v>45191.0</v>
      </c>
      <c r="D2" s="8">
        <v>44827.0</v>
      </c>
      <c r="E2" s="9"/>
      <c r="F2" s="8">
        <f>B2</f>
        <v>45919</v>
      </c>
      <c r="G2" s="8">
        <v>45555.0</v>
      </c>
      <c r="H2" s="8">
        <f>C2</f>
        <v>45191</v>
      </c>
      <c r="I2" s="8">
        <f>B2</f>
        <v>45919</v>
      </c>
      <c r="J2" s="8">
        <v>44820.0</v>
      </c>
      <c r="K2" s="8">
        <v>44484.0</v>
      </c>
      <c r="L2" s="8">
        <v>44092.0</v>
      </c>
      <c r="M2" s="8">
        <f>J2</f>
        <v>44820</v>
      </c>
      <c r="N2" s="9"/>
      <c r="O2" s="8">
        <v>43728.0</v>
      </c>
      <c r="P2" s="8">
        <v>43364.0</v>
      </c>
      <c r="Q2" s="8">
        <f>L2</f>
        <v>44092</v>
      </c>
      <c r="R2" s="8">
        <v>43000.0</v>
      </c>
      <c r="S2" s="8">
        <v>42629.0</v>
      </c>
      <c r="T2" s="8">
        <v>42629.0</v>
      </c>
      <c r="U2" s="8">
        <v>42118.0</v>
      </c>
    </row>
    <row r="3">
      <c r="A3" s="7" t="s">
        <v>20</v>
      </c>
      <c r="B3" s="10">
        <v>26.0</v>
      </c>
      <c r="C3" s="10">
        <v>26.0</v>
      </c>
      <c r="D3" s="10">
        <v>26.0</v>
      </c>
      <c r="E3" s="3"/>
      <c r="F3" s="10">
        <v>26.0</v>
      </c>
      <c r="G3" s="10">
        <v>26.0</v>
      </c>
      <c r="H3" s="10">
        <v>26.0</v>
      </c>
      <c r="I3" s="10">
        <v>26.0</v>
      </c>
      <c r="J3" s="10">
        <v>26.0</v>
      </c>
      <c r="K3" s="10">
        <v>26.0</v>
      </c>
      <c r="L3" s="10">
        <v>26.0</v>
      </c>
      <c r="M3" s="11">
        <v>26.0</v>
      </c>
      <c r="N3" s="3"/>
      <c r="O3" s="12">
        <v>10.0</v>
      </c>
      <c r="P3" s="13">
        <v>10.0</v>
      </c>
      <c r="Q3" s="13">
        <v>10.0</v>
      </c>
      <c r="R3" s="13">
        <v>8.0</v>
      </c>
      <c r="S3" s="13">
        <v>6.0</v>
      </c>
      <c r="T3" s="13">
        <v>6.0</v>
      </c>
      <c r="U3" s="13">
        <v>4.0</v>
      </c>
    </row>
    <row r="4">
      <c r="A4" s="7" t="s">
        <v>21</v>
      </c>
      <c r="B4" s="14">
        <v>49.0</v>
      </c>
      <c r="C4" s="14">
        <v>49.0</v>
      </c>
      <c r="D4" s="14">
        <v>49.0</v>
      </c>
      <c r="E4" s="3"/>
      <c r="F4" s="14">
        <v>46.0</v>
      </c>
      <c r="G4" s="14">
        <v>47.0</v>
      </c>
      <c r="H4" s="14">
        <v>45.0</v>
      </c>
      <c r="I4" s="14">
        <v>44.0</v>
      </c>
      <c r="J4" s="14">
        <v>45.0</v>
      </c>
      <c r="K4" s="14">
        <v>45.0</v>
      </c>
      <c r="L4" s="14">
        <v>44.0</v>
      </c>
      <c r="M4" s="15">
        <v>44.0</v>
      </c>
      <c r="N4" s="3"/>
      <c r="O4" s="14">
        <v>44.0</v>
      </c>
      <c r="P4" s="15">
        <v>44.0</v>
      </c>
      <c r="Q4" s="15">
        <v>44.0</v>
      </c>
      <c r="R4" s="15">
        <v>42.0</v>
      </c>
      <c r="S4" s="15">
        <v>42.0</v>
      </c>
      <c r="T4" s="15">
        <v>42.0</v>
      </c>
    </row>
    <row r="5">
      <c r="A5" s="7" t="s">
        <v>22</v>
      </c>
      <c r="B5" s="14">
        <v>49.0</v>
      </c>
      <c r="C5" s="14">
        <v>49.0</v>
      </c>
      <c r="D5" s="14">
        <v>49.0</v>
      </c>
      <c r="E5" s="3"/>
      <c r="F5" s="14">
        <v>42.0</v>
      </c>
      <c r="G5" s="14">
        <v>42.0</v>
      </c>
      <c r="H5" s="14">
        <v>41.0</v>
      </c>
      <c r="I5" s="14">
        <v>40.0</v>
      </c>
      <c r="J5" s="14">
        <v>41.0</v>
      </c>
      <c r="K5" s="14">
        <v>41.0</v>
      </c>
      <c r="L5" s="14">
        <v>40.0</v>
      </c>
      <c r="M5" s="15">
        <v>40.0</v>
      </c>
      <c r="N5" s="3"/>
      <c r="O5" s="14">
        <v>40.0</v>
      </c>
      <c r="P5" s="15">
        <v>40.0</v>
      </c>
      <c r="Q5" s="15">
        <v>40.0</v>
      </c>
      <c r="R5" s="15">
        <v>38.0</v>
      </c>
      <c r="S5" s="15">
        <v>38.0</v>
      </c>
      <c r="T5" s="15">
        <v>38.0</v>
      </c>
    </row>
    <row r="6">
      <c r="A6" s="1" t="s">
        <v>23</v>
      </c>
      <c r="B6" s="16">
        <f>422*514</f>
        <v>216908</v>
      </c>
      <c r="C6" s="16">
        <f t="shared" ref="C6:D6" si="1">410*502</f>
        <v>205820</v>
      </c>
      <c r="D6" s="16">
        <f t="shared" si="1"/>
        <v>205820</v>
      </c>
      <c r="E6" s="3"/>
      <c r="F6" s="16">
        <f t="shared" ref="F6:G6" si="2">416*496</f>
        <v>206336</v>
      </c>
      <c r="G6" s="16">
        <f t="shared" si="2"/>
        <v>206336</v>
      </c>
      <c r="H6" s="16">
        <f>396*484</f>
        <v>191664</v>
      </c>
      <c r="I6" s="16">
        <f>368*448</f>
        <v>164864</v>
      </c>
      <c r="J6" s="16">
        <f t="shared" ref="J6:K6" si="3">396*484</f>
        <v>191664</v>
      </c>
      <c r="K6" s="16">
        <f t="shared" si="3"/>
        <v>191664</v>
      </c>
      <c r="L6" s="16">
        <f t="shared" ref="L6:M6" si="4">368*448</f>
        <v>164864</v>
      </c>
      <c r="M6" s="16">
        <f t="shared" si="4"/>
        <v>164864</v>
      </c>
      <c r="N6" s="3"/>
      <c r="O6" s="16">
        <f t="shared" ref="O6:Q6" si="5">368*448</f>
        <v>164864</v>
      </c>
      <c r="P6" s="16">
        <f t="shared" si="5"/>
        <v>164864</v>
      </c>
      <c r="Q6" s="16">
        <f t="shared" si="5"/>
        <v>164864</v>
      </c>
      <c r="R6" s="16">
        <f t="shared" ref="R6:T6" si="6">312*390</f>
        <v>121680</v>
      </c>
      <c r="S6" s="16">
        <f t="shared" si="6"/>
        <v>121680</v>
      </c>
      <c r="T6" s="16">
        <f t="shared" si="6"/>
        <v>121680</v>
      </c>
      <c r="U6" s="17"/>
      <c r="V6" s="17"/>
    </row>
    <row r="7">
      <c r="A7" s="1" t="s">
        <v>24</v>
      </c>
      <c r="B7" s="16">
        <f t="shared" ref="B7:D7" si="7">B6</f>
        <v>216908</v>
      </c>
      <c r="C7" s="16">
        <f t="shared" si="7"/>
        <v>205820</v>
      </c>
      <c r="D7" s="16">
        <f t="shared" si="7"/>
        <v>205820</v>
      </c>
      <c r="E7" s="3"/>
      <c r="F7" s="16">
        <f t="shared" ref="F7:G7" si="8">374*446</f>
        <v>166804</v>
      </c>
      <c r="G7" s="16">
        <f t="shared" si="8"/>
        <v>166804</v>
      </c>
      <c r="H7" s="16">
        <f>352*430</f>
        <v>151360</v>
      </c>
      <c r="I7" s="16">
        <f>324*394</f>
        <v>127656</v>
      </c>
      <c r="J7" s="16">
        <f t="shared" ref="J7:K7" si="9">352*430</f>
        <v>151360</v>
      </c>
      <c r="K7" s="16">
        <f t="shared" si="9"/>
        <v>151360</v>
      </c>
      <c r="L7" s="16">
        <f t="shared" ref="L7:M7" si="10">324*394</f>
        <v>127656</v>
      </c>
      <c r="M7" s="16">
        <f t="shared" si="10"/>
        <v>127656</v>
      </c>
      <c r="N7" s="3"/>
      <c r="O7" s="16">
        <f t="shared" ref="O7:Q7" si="11">324*394</f>
        <v>127656</v>
      </c>
      <c r="P7" s="16">
        <f t="shared" si="11"/>
        <v>127656</v>
      </c>
      <c r="Q7" s="16">
        <f t="shared" si="11"/>
        <v>127656</v>
      </c>
      <c r="R7" s="16">
        <f t="shared" ref="R7:T7" si="12">272*340</f>
        <v>92480</v>
      </c>
      <c r="S7" s="16">
        <f t="shared" si="12"/>
        <v>92480</v>
      </c>
      <c r="T7" s="16">
        <f t="shared" si="12"/>
        <v>92480</v>
      </c>
      <c r="U7" s="17"/>
      <c r="V7" s="17"/>
    </row>
    <row r="8">
      <c r="A8" s="1" t="s">
        <v>25</v>
      </c>
      <c r="B8" s="16">
        <v>1245.0</v>
      </c>
      <c r="C8" s="16">
        <v>1185.0</v>
      </c>
      <c r="D8" s="16">
        <v>1185.0</v>
      </c>
      <c r="E8" s="3"/>
      <c r="F8" s="16">
        <v>1220.0</v>
      </c>
      <c r="G8" s="16">
        <v>1220.0</v>
      </c>
      <c r="H8" s="16">
        <v>1143.0</v>
      </c>
      <c r="I8" s="16">
        <v>977.0</v>
      </c>
      <c r="J8" s="16">
        <v>1143.0</v>
      </c>
      <c r="K8" s="16">
        <v>1143.0</v>
      </c>
      <c r="L8" s="16">
        <v>977.0</v>
      </c>
      <c r="M8" s="16">
        <v>977.0</v>
      </c>
      <c r="N8" s="3"/>
      <c r="O8" s="16">
        <v>977.0</v>
      </c>
      <c r="P8" s="16">
        <v>977.0</v>
      </c>
      <c r="Q8" s="16">
        <v>977.0</v>
      </c>
      <c r="R8" s="16">
        <v>740.0</v>
      </c>
      <c r="S8" s="16">
        <v>740.0</v>
      </c>
      <c r="T8" s="16">
        <v>740.0</v>
      </c>
      <c r="U8" s="17"/>
      <c r="V8" s="17"/>
    </row>
    <row r="9">
      <c r="A9" s="1" t="s">
        <v>26</v>
      </c>
      <c r="B9" s="16">
        <f t="shared" ref="B9:D9" si="13">B8</f>
        <v>1245</v>
      </c>
      <c r="C9" s="16">
        <f t="shared" si="13"/>
        <v>1185</v>
      </c>
      <c r="D9" s="16">
        <f t="shared" si="13"/>
        <v>1185</v>
      </c>
      <c r="E9" s="3"/>
      <c r="F9" s="16">
        <v>989.0</v>
      </c>
      <c r="G9" s="16">
        <v>989.0</v>
      </c>
      <c r="H9" s="16">
        <v>904.0</v>
      </c>
      <c r="I9" s="16">
        <v>759.0</v>
      </c>
      <c r="J9" s="16">
        <v>904.0</v>
      </c>
      <c r="K9" s="16">
        <v>904.0</v>
      </c>
      <c r="L9" s="16">
        <v>759.0</v>
      </c>
      <c r="M9" s="16">
        <v>759.0</v>
      </c>
      <c r="N9" s="3"/>
      <c r="O9" s="16">
        <v>759.0</v>
      </c>
      <c r="P9" s="16">
        <v>759.0</v>
      </c>
      <c r="Q9" s="16">
        <v>759.0</v>
      </c>
      <c r="R9" s="16">
        <v>563.0</v>
      </c>
      <c r="S9" s="16">
        <v>563.0</v>
      </c>
      <c r="T9" s="16">
        <v>563.0</v>
      </c>
      <c r="U9" s="17"/>
      <c r="V9" s="17"/>
    </row>
    <row r="10">
      <c r="A10" s="1" t="s">
        <v>27</v>
      </c>
      <c r="B10" s="16" t="str">
        <f t="shared" ref="B10:C10" si="14">C10</f>
        <v>titanium</v>
      </c>
      <c r="C10" s="16" t="str">
        <f t="shared" si="14"/>
        <v>titanium</v>
      </c>
      <c r="D10" s="16" t="s">
        <v>28</v>
      </c>
      <c r="E10" s="3"/>
      <c r="F10" s="16" t="s">
        <v>29</v>
      </c>
      <c r="G10" s="16" t="s">
        <v>29</v>
      </c>
      <c r="H10" s="16" t="str">
        <f>J10</f>
        <v>aluminum, stainless steel</v>
      </c>
      <c r="I10" s="16" t="s">
        <v>30</v>
      </c>
      <c r="J10" s="16" t="s">
        <v>31</v>
      </c>
      <c r="K10" s="16" t="s">
        <v>32</v>
      </c>
      <c r="L10" s="16" t="s">
        <v>31</v>
      </c>
      <c r="M10" s="16" t="s">
        <v>30</v>
      </c>
      <c r="N10" s="3"/>
      <c r="O10" s="16" t="s">
        <v>33</v>
      </c>
      <c r="P10" s="16" t="s">
        <v>31</v>
      </c>
      <c r="Q10" s="16" t="s">
        <v>30</v>
      </c>
      <c r="R10" s="16" t="str">
        <f>S10</f>
        <v>aluminum, stainless steel, ceramic</v>
      </c>
      <c r="S10" s="16" t="s">
        <v>34</v>
      </c>
      <c r="T10" s="16" t="s">
        <v>31</v>
      </c>
      <c r="U10" s="17"/>
      <c r="V10" s="17"/>
    </row>
    <row r="11">
      <c r="A11" s="7" t="s">
        <v>35</v>
      </c>
      <c r="B11" s="14" t="s">
        <v>36</v>
      </c>
      <c r="C11" s="14">
        <v>1.0</v>
      </c>
      <c r="D11" s="14">
        <v>1.0</v>
      </c>
      <c r="E11" s="3"/>
      <c r="F11" s="14" t="s">
        <v>36</v>
      </c>
      <c r="G11" s="14">
        <v>1.0</v>
      </c>
      <c r="H11" s="14">
        <v>1.0</v>
      </c>
      <c r="I11" s="16" t="s">
        <v>36</v>
      </c>
      <c r="J11" s="16">
        <v>1.0</v>
      </c>
      <c r="K11" s="14">
        <v>0.0</v>
      </c>
      <c r="L11" s="14">
        <v>0.0</v>
      </c>
      <c r="M11" s="16">
        <v>1.0</v>
      </c>
      <c r="N11" s="3"/>
      <c r="O11" s="14">
        <v>0.0</v>
      </c>
      <c r="P11" s="15">
        <v>0.0</v>
      </c>
      <c r="Q11" s="15">
        <v>0.0</v>
      </c>
      <c r="R11" s="15">
        <v>0.0</v>
      </c>
      <c r="S11" s="15">
        <v>0.0</v>
      </c>
      <c r="T11" s="15">
        <v>0.0</v>
      </c>
    </row>
    <row r="12">
      <c r="A12" s="1" t="s">
        <v>37</v>
      </c>
      <c r="B12" s="18" t="s">
        <v>38</v>
      </c>
      <c r="C12" s="19" t="str">
        <f>D12</f>
        <v>LTPO2 OLED Retina</v>
      </c>
      <c r="D12" s="19" t="s">
        <v>39</v>
      </c>
      <c r="E12" s="3"/>
      <c r="F12" s="18" t="s">
        <v>38</v>
      </c>
      <c r="G12" s="18" t="s">
        <v>38</v>
      </c>
      <c r="H12" s="20" t="s">
        <v>40</v>
      </c>
      <c r="I12" s="20" t="s">
        <v>40</v>
      </c>
      <c r="J12" s="20" t="s">
        <v>40</v>
      </c>
      <c r="K12" s="20" t="s">
        <v>40</v>
      </c>
      <c r="L12" s="20" t="s">
        <v>40</v>
      </c>
      <c r="M12" s="20" t="s">
        <v>40</v>
      </c>
      <c r="N12" s="3"/>
      <c r="O12" s="20" t="s">
        <v>40</v>
      </c>
      <c r="P12" s="20" t="s">
        <v>40</v>
      </c>
      <c r="Q12" s="20" t="s">
        <v>40</v>
      </c>
      <c r="R12" s="21" t="s">
        <v>41</v>
      </c>
      <c r="S12" s="21" t="s">
        <v>41</v>
      </c>
      <c r="T12" s="21" t="s">
        <v>41</v>
      </c>
      <c r="U12" s="17"/>
      <c r="V12" s="17"/>
    </row>
    <row r="13">
      <c r="A13" s="7" t="s">
        <v>42</v>
      </c>
      <c r="B13" s="16">
        <v>1.0</v>
      </c>
      <c r="C13" s="16">
        <v>1.0</v>
      </c>
      <c r="D13" s="16">
        <v>1.0</v>
      </c>
      <c r="E13" s="3"/>
      <c r="F13" s="16">
        <v>1.0</v>
      </c>
      <c r="G13" s="16">
        <v>1.0</v>
      </c>
      <c r="H13" s="16">
        <v>1.0</v>
      </c>
      <c r="I13" s="16">
        <v>1.0</v>
      </c>
      <c r="J13" s="16">
        <v>1.0</v>
      </c>
      <c r="K13" s="16">
        <v>1.0</v>
      </c>
      <c r="L13" s="16">
        <v>1.0</v>
      </c>
      <c r="M13" s="20">
        <v>0.0</v>
      </c>
      <c r="N13" s="3"/>
      <c r="O13" s="16">
        <v>1.0</v>
      </c>
      <c r="P13" s="20">
        <v>0.0</v>
      </c>
      <c r="Q13" s="20">
        <v>0.0</v>
      </c>
      <c r="R13" s="20">
        <v>0.0</v>
      </c>
      <c r="S13" s="20">
        <v>0.0</v>
      </c>
      <c r="T13" s="20">
        <v>0.0</v>
      </c>
    </row>
    <row r="14">
      <c r="A14" s="7" t="s">
        <v>43</v>
      </c>
      <c r="B14" s="14">
        <v>1.0</v>
      </c>
      <c r="C14" s="14">
        <v>0.0</v>
      </c>
      <c r="D14" s="14">
        <v>0.0</v>
      </c>
      <c r="E14" s="3"/>
      <c r="F14" s="14">
        <v>1.0</v>
      </c>
      <c r="G14" s="14">
        <v>1.0</v>
      </c>
      <c r="H14" s="14">
        <v>0.0</v>
      </c>
      <c r="I14" s="14">
        <v>0.0</v>
      </c>
      <c r="J14" s="14">
        <v>0.0</v>
      </c>
      <c r="K14" s="14">
        <v>0.0</v>
      </c>
      <c r="L14" s="14">
        <v>0.0</v>
      </c>
      <c r="M14" s="15">
        <v>0.0</v>
      </c>
      <c r="N14" s="3"/>
      <c r="O14" s="14">
        <v>0.0</v>
      </c>
      <c r="P14" s="15">
        <v>0.0</v>
      </c>
      <c r="Q14" s="15">
        <v>0.0</v>
      </c>
      <c r="R14" s="15">
        <v>0.0</v>
      </c>
      <c r="S14" s="15">
        <v>0.0</v>
      </c>
      <c r="T14" s="15">
        <v>0.0</v>
      </c>
    </row>
    <row r="15">
      <c r="A15" s="7" t="s">
        <v>44</v>
      </c>
      <c r="B15" s="14">
        <v>3000.0</v>
      </c>
      <c r="C15" s="14">
        <v>3000.0</v>
      </c>
      <c r="D15" s="14">
        <v>2000.0</v>
      </c>
      <c r="E15" s="3"/>
      <c r="F15" s="14">
        <v>2000.0</v>
      </c>
      <c r="G15" s="14">
        <v>2000.0</v>
      </c>
      <c r="H15" s="14">
        <v>2000.0</v>
      </c>
      <c r="I15" s="14">
        <v>1000.0</v>
      </c>
      <c r="J15" s="14">
        <v>1000.0</v>
      </c>
      <c r="K15" s="14">
        <v>1000.0</v>
      </c>
      <c r="L15" s="14">
        <v>1000.0</v>
      </c>
      <c r="M15" s="15">
        <v>1000.0</v>
      </c>
      <c r="N15" s="3"/>
      <c r="O15" s="14">
        <v>1000.0</v>
      </c>
      <c r="P15" s="15">
        <v>1000.0</v>
      </c>
      <c r="Q15" s="15">
        <v>1000.0</v>
      </c>
      <c r="R15" s="15">
        <v>1000.0</v>
      </c>
      <c r="S15" s="15">
        <v>1000.0</v>
      </c>
      <c r="T15" s="15">
        <v>450.0</v>
      </c>
    </row>
    <row r="16">
      <c r="A16" s="7" t="s">
        <v>45</v>
      </c>
      <c r="B16" s="10">
        <v>1.0</v>
      </c>
      <c r="C16" s="10">
        <v>1.0</v>
      </c>
      <c r="D16" s="10">
        <v>1.0</v>
      </c>
      <c r="E16" s="3"/>
      <c r="F16" s="10">
        <v>1.0</v>
      </c>
      <c r="G16" s="10">
        <v>1.0</v>
      </c>
      <c r="H16" s="10">
        <v>1.0</v>
      </c>
      <c r="I16" s="15">
        <v>2.0</v>
      </c>
      <c r="J16" s="13" t="str">
        <f t="shared" ref="J16:M16" si="15">$T$16</f>
        <v>N/A</v>
      </c>
      <c r="K16" s="13" t="str">
        <f t="shared" si="15"/>
        <v>N/A</v>
      </c>
      <c r="L16" s="13" t="str">
        <f t="shared" si="15"/>
        <v>N/A</v>
      </c>
      <c r="M16" s="13" t="str">
        <f t="shared" si="15"/>
        <v>N/A</v>
      </c>
      <c r="N16" s="3"/>
      <c r="O16" s="13" t="str">
        <f t="shared" ref="O16:S16" si="16">$T$16</f>
        <v>N/A</v>
      </c>
      <c r="P16" s="13" t="str">
        <f t="shared" si="16"/>
        <v>N/A</v>
      </c>
      <c r="Q16" s="13" t="str">
        <f t="shared" si="16"/>
        <v>N/A</v>
      </c>
      <c r="R16" s="13" t="str">
        <f t="shared" si="16"/>
        <v>N/A</v>
      </c>
      <c r="S16" s="13" t="str">
        <f t="shared" si="16"/>
        <v>N/A</v>
      </c>
      <c r="T16" s="13" t="s">
        <v>36</v>
      </c>
    </row>
    <row r="17">
      <c r="A17" s="2" t="s">
        <v>46</v>
      </c>
      <c r="B17" s="16" t="str">
        <f t="shared" ref="B17:C17" si="17">C17</f>
        <v>Flat sapphire crystal display</v>
      </c>
      <c r="C17" s="16" t="str">
        <f t="shared" si="17"/>
        <v>Flat sapphire crystal display</v>
      </c>
      <c r="D17" s="16" t="s">
        <v>47</v>
      </c>
      <c r="E17" s="3"/>
      <c r="F17" s="22" t="str">
        <f>G17</f>
        <v>Ion-X on aluminum cases, sapphire front crystal on titanium+ cases</v>
      </c>
      <c r="G17" s="16" t="s">
        <v>48</v>
      </c>
      <c r="H17" s="22" t="str">
        <f>$U$17</f>
        <v>Ion-X on aluminum cases, sapphire front crystal on stainless steel+ cases</v>
      </c>
      <c r="I17" s="22" t="str">
        <f>M17</f>
        <v>Ion-X</v>
      </c>
      <c r="J17" s="22" t="str">
        <f t="shared" ref="J17:L17" si="18">$U$17</f>
        <v>Ion-X on aluminum cases, sapphire front crystal on stainless steel+ cases</v>
      </c>
      <c r="K17" s="22" t="str">
        <f t="shared" si="18"/>
        <v>Ion-X on aluminum cases, sapphire front crystal on stainless steel+ cases</v>
      </c>
      <c r="L17" s="22" t="str">
        <f t="shared" si="18"/>
        <v>Ion-X on aluminum cases, sapphire front crystal on stainless steel+ cases</v>
      </c>
      <c r="M17" s="16" t="str">
        <f>Q17</f>
        <v>Ion-X</v>
      </c>
      <c r="N17" s="3"/>
      <c r="O17" s="22" t="str">
        <f t="shared" ref="O17:P17" si="19">$U$17</f>
        <v>Ion-X on aluminum cases, sapphire front crystal on stainless steel+ cases</v>
      </c>
      <c r="P17" s="22" t="str">
        <f t="shared" si="19"/>
        <v>Ion-X on aluminum cases, sapphire front crystal on stainless steel+ cases</v>
      </c>
      <c r="Q17" s="16" t="s">
        <v>49</v>
      </c>
      <c r="R17" s="22" t="str">
        <f t="shared" ref="R17:T17" si="20">$U$17</f>
        <v>Ion-X on aluminum cases, sapphire front crystal on stainless steel+ cases</v>
      </c>
      <c r="S17" s="22" t="str">
        <f t="shared" si="20"/>
        <v>Ion-X on aluminum cases, sapphire front crystal on stainless steel+ cases</v>
      </c>
      <c r="T17" s="22" t="str">
        <f t="shared" si="20"/>
        <v>Ion-X on aluminum cases, sapphire front crystal on stainless steel+ cases</v>
      </c>
      <c r="U17" s="16" t="s">
        <v>50</v>
      </c>
      <c r="V17" s="22"/>
    </row>
    <row r="18">
      <c r="A18" s="7" t="s">
        <v>51</v>
      </c>
      <c r="B18" s="14">
        <v>1.0</v>
      </c>
      <c r="C18" s="14">
        <v>1.0</v>
      </c>
      <c r="D18" s="14">
        <v>1.0</v>
      </c>
      <c r="E18" s="3"/>
      <c r="F18" s="14">
        <v>1.0</v>
      </c>
      <c r="G18" s="14">
        <v>1.0</v>
      </c>
      <c r="H18" s="14">
        <v>1.0</v>
      </c>
      <c r="I18" s="14">
        <v>0.0</v>
      </c>
      <c r="J18" s="14">
        <v>1.0</v>
      </c>
      <c r="K18" s="14">
        <v>1.0</v>
      </c>
      <c r="L18" s="14">
        <v>1.0</v>
      </c>
      <c r="M18" s="15">
        <v>0.0</v>
      </c>
      <c r="N18" s="3"/>
      <c r="O18" s="14">
        <v>1.0</v>
      </c>
      <c r="P18" s="15">
        <v>1.0</v>
      </c>
      <c r="Q18" s="15">
        <v>0.0</v>
      </c>
      <c r="R18" s="15">
        <v>0.0</v>
      </c>
      <c r="S18" s="15">
        <v>0.0</v>
      </c>
      <c r="T18" s="15">
        <v>0.0</v>
      </c>
    </row>
    <row r="19">
      <c r="A19" s="7" t="s">
        <v>52</v>
      </c>
      <c r="B19" s="14">
        <v>1.0</v>
      </c>
      <c r="C19" s="14">
        <v>1.0</v>
      </c>
      <c r="D19" s="14">
        <v>1.0</v>
      </c>
      <c r="E19" s="3"/>
      <c r="F19" s="14">
        <v>1.0</v>
      </c>
      <c r="G19" s="14">
        <v>1.0</v>
      </c>
      <c r="H19" s="14">
        <v>1.0</v>
      </c>
      <c r="I19" s="14">
        <v>1.0</v>
      </c>
      <c r="J19" s="14">
        <v>1.0</v>
      </c>
      <c r="K19" s="14">
        <v>1.0</v>
      </c>
      <c r="L19" s="14">
        <v>1.0</v>
      </c>
      <c r="M19" s="15">
        <v>1.0</v>
      </c>
      <c r="N19" s="3"/>
      <c r="O19" s="14">
        <v>1.0</v>
      </c>
      <c r="P19" s="15">
        <v>1.0</v>
      </c>
      <c r="Q19" s="15">
        <v>1.0</v>
      </c>
      <c r="R19" s="15">
        <v>1.0</v>
      </c>
      <c r="S19" s="15">
        <v>1.0</v>
      </c>
      <c r="T19" s="15">
        <v>1.0</v>
      </c>
    </row>
    <row r="20">
      <c r="A20" s="7" t="s">
        <v>53</v>
      </c>
      <c r="B20" s="14">
        <v>1.0</v>
      </c>
      <c r="C20" s="14">
        <v>1.0</v>
      </c>
      <c r="D20" s="14">
        <v>1.0</v>
      </c>
      <c r="E20" s="3"/>
      <c r="F20" s="14">
        <v>1.0</v>
      </c>
      <c r="G20" s="14">
        <v>1.0</v>
      </c>
      <c r="H20" s="14">
        <v>1.0</v>
      </c>
      <c r="I20" s="14">
        <v>1.0</v>
      </c>
      <c r="J20" s="14">
        <v>1.0</v>
      </c>
      <c r="K20" s="14">
        <v>1.0</v>
      </c>
      <c r="L20" s="14">
        <v>1.0</v>
      </c>
      <c r="M20" s="15">
        <v>1.0</v>
      </c>
      <c r="N20" s="3"/>
      <c r="O20" s="14">
        <v>1.0</v>
      </c>
      <c r="P20" s="15">
        <v>1.0</v>
      </c>
      <c r="Q20" s="15">
        <v>1.0</v>
      </c>
      <c r="R20" s="15">
        <v>1.0</v>
      </c>
      <c r="S20" s="15">
        <v>1.0</v>
      </c>
      <c r="T20" s="15">
        <v>1.0</v>
      </c>
    </row>
    <row r="21">
      <c r="A21" s="7" t="s">
        <v>54</v>
      </c>
      <c r="B21" s="14">
        <v>1.0</v>
      </c>
      <c r="C21" s="14">
        <v>1.0</v>
      </c>
      <c r="D21" s="14">
        <v>1.0</v>
      </c>
      <c r="E21" s="3"/>
      <c r="F21" s="14">
        <v>1.0</v>
      </c>
      <c r="G21" s="14">
        <v>1.0</v>
      </c>
      <c r="H21" s="14">
        <v>1.0</v>
      </c>
      <c r="I21" s="14">
        <v>1.0</v>
      </c>
      <c r="J21" s="14">
        <v>1.0</v>
      </c>
      <c r="K21" s="14">
        <v>1.0</v>
      </c>
      <c r="L21" s="14">
        <v>1.0</v>
      </c>
      <c r="M21" s="15">
        <v>1.0</v>
      </c>
      <c r="N21" s="3"/>
      <c r="O21" s="14">
        <v>1.0</v>
      </c>
      <c r="P21" s="15">
        <v>1.0</v>
      </c>
      <c r="Q21" s="15">
        <v>1.0</v>
      </c>
      <c r="R21" s="15">
        <v>1.0</v>
      </c>
      <c r="S21" s="15">
        <v>1.0</v>
      </c>
      <c r="T21" s="15">
        <v>0.0</v>
      </c>
    </row>
    <row r="22">
      <c r="A22" s="7" t="s">
        <v>55</v>
      </c>
      <c r="B22" s="14">
        <v>1.0</v>
      </c>
      <c r="C22" s="14">
        <v>1.0</v>
      </c>
      <c r="D22" s="14">
        <v>1.0</v>
      </c>
      <c r="E22" s="3"/>
      <c r="F22" s="14">
        <v>1.0</v>
      </c>
      <c r="G22" s="14">
        <v>1.0</v>
      </c>
      <c r="H22" s="14">
        <v>1.0</v>
      </c>
      <c r="I22" s="14">
        <v>0.0</v>
      </c>
      <c r="J22" s="14">
        <v>1.0</v>
      </c>
      <c r="K22" s="14">
        <v>1.0</v>
      </c>
      <c r="L22" s="14">
        <v>1.0</v>
      </c>
      <c r="M22" s="15">
        <v>0.0</v>
      </c>
      <c r="N22" s="3"/>
      <c r="O22" s="14">
        <v>0.0</v>
      </c>
      <c r="P22" s="15">
        <v>0.0</v>
      </c>
      <c r="Q22" s="15">
        <v>0.0</v>
      </c>
      <c r="R22" s="15">
        <v>0.0</v>
      </c>
      <c r="S22" s="15">
        <v>0.0</v>
      </c>
      <c r="T22" s="15">
        <v>0.0</v>
      </c>
    </row>
    <row r="23">
      <c r="A23" s="7" t="s">
        <v>56</v>
      </c>
      <c r="B23" s="14">
        <v>1.0</v>
      </c>
      <c r="C23" s="14">
        <v>1.0</v>
      </c>
      <c r="D23" s="14">
        <v>1.0</v>
      </c>
      <c r="E23" s="3"/>
      <c r="F23" s="14">
        <v>1.0</v>
      </c>
      <c r="G23" s="14">
        <v>1.0</v>
      </c>
      <c r="H23" s="14">
        <v>1.0</v>
      </c>
      <c r="I23" s="14">
        <v>1.0</v>
      </c>
      <c r="J23" s="14">
        <v>1.0</v>
      </c>
      <c r="K23" s="14">
        <v>1.0</v>
      </c>
      <c r="L23" s="14">
        <v>1.0</v>
      </c>
      <c r="M23" s="15">
        <v>1.0</v>
      </c>
      <c r="N23" s="3"/>
      <c r="O23" s="14">
        <v>1.0</v>
      </c>
      <c r="P23" s="15">
        <v>1.0</v>
      </c>
      <c r="Q23" s="15">
        <v>1.0</v>
      </c>
      <c r="R23" s="15">
        <v>1.0</v>
      </c>
      <c r="S23" s="15">
        <v>0.0</v>
      </c>
      <c r="T23" s="15">
        <v>0.0</v>
      </c>
    </row>
    <row r="24">
      <c r="A24" s="7" t="s">
        <v>57</v>
      </c>
      <c r="B24" s="14">
        <v>1.0</v>
      </c>
      <c r="C24" s="14">
        <v>1.0</v>
      </c>
      <c r="D24" s="14">
        <v>0.0</v>
      </c>
      <c r="E24" s="3"/>
      <c r="F24" s="14">
        <v>1.0</v>
      </c>
      <c r="G24" s="14">
        <v>1.0</v>
      </c>
      <c r="H24" s="14">
        <v>1.0</v>
      </c>
      <c r="I24" s="14">
        <v>1.0</v>
      </c>
      <c r="J24" s="14">
        <v>0.0</v>
      </c>
      <c r="K24" s="14">
        <v>0.0</v>
      </c>
      <c r="L24" s="14">
        <v>0.0</v>
      </c>
      <c r="M24" s="15">
        <v>0.0</v>
      </c>
      <c r="N24" s="3"/>
      <c r="O24" s="14">
        <v>0.0</v>
      </c>
      <c r="P24" s="15">
        <v>0.0</v>
      </c>
      <c r="Q24" s="15">
        <v>0.0</v>
      </c>
      <c r="R24" s="15">
        <v>0.0</v>
      </c>
      <c r="S24" s="15">
        <v>0.0</v>
      </c>
      <c r="T24" s="15">
        <v>0.0</v>
      </c>
    </row>
    <row r="25">
      <c r="A25" s="7" t="s">
        <v>58</v>
      </c>
      <c r="B25" s="14">
        <v>1.0</v>
      </c>
      <c r="C25" s="14">
        <v>1.0</v>
      </c>
      <c r="D25" s="14">
        <v>1.0</v>
      </c>
      <c r="E25" s="3"/>
      <c r="F25" s="14">
        <v>1.0</v>
      </c>
      <c r="G25" s="14">
        <v>1.0</v>
      </c>
      <c r="H25" s="14">
        <v>1.0</v>
      </c>
      <c r="I25" s="14">
        <v>1.0</v>
      </c>
      <c r="J25" s="14">
        <v>1.0</v>
      </c>
      <c r="K25" s="14">
        <v>1.0</v>
      </c>
      <c r="L25" s="14">
        <v>1.0</v>
      </c>
      <c r="M25" s="15">
        <v>1.0</v>
      </c>
      <c r="N25" s="3"/>
      <c r="O25" s="14">
        <v>0.0</v>
      </c>
      <c r="P25" s="15">
        <v>0.0</v>
      </c>
      <c r="Q25" s="15">
        <v>0.0</v>
      </c>
      <c r="R25" s="15">
        <v>0.0</v>
      </c>
      <c r="S25" s="15">
        <v>0.0</v>
      </c>
      <c r="T25" s="15">
        <v>0.0</v>
      </c>
    </row>
    <row r="26">
      <c r="A26" s="7" t="s">
        <v>59</v>
      </c>
      <c r="B26" s="14">
        <v>1.0</v>
      </c>
      <c r="C26" s="14">
        <v>1.0</v>
      </c>
      <c r="D26" s="14">
        <v>1.0</v>
      </c>
      <c r="E26" s="3"/>
      <c r="F26" s="14">
        <v>1.0</v>
      </c>
      <c r="G26" s="14">
        <v>1.0</v>
      </c>
      <c r="H26" s="14">
        <v>1.0</v>
      </c>
      <c r="I26" s="14">
        <v>1.0</v>
      </c>
      <c r="J26" s="14">
        <v>1.0</v>
      </c>
      <c r="K26" s="14">
        <v>0.0</v>
      </c>
      <c r="L26" s="14">
        <v>0.0</v>
      </c>
      <c r="M26" s="15">
        <v>0.0</v>
      </c>
      <c r="N26" s="3"/>
      <c r="O26" s="14">
        <v>0.0</v>
      </c>
      <c r="P26" s="15">
        <v>0.0</v>
      </c>
      <c r="Q26" s="15">
        <v>0.0</v>
      </c>
      <c r="R26" s="15">
        <v>0.0</v>
      </c>
      <c r="S26" s="15">
        <v>0.0</v>
      </c>
      <c r="T26" s="15">
        <v>0.0</v>
      </c>
    </row>
    <row r="27">
      <c r="A27" s="7" t="s">
        <v>62</v>
      </c>
      <c r="B27" s="14">
        <v>1.0</v>
      </c>
      <c r="C27" s="14">
        <v>1.0</v>
      </c>
      <c r="D27" s="14">
        <v>1.0</v>
      </c>
      <c r="E27" s="3"/>
      <c r="F27" s="14">
        <v>1.0</v>
      </c>
      <c r="G27" s="14">
        <v>1.0</v>
      </c>
      <c r="H27" s="14">
        <v>1.0</v>
      </c>
      <c r="I27" s="14">
        <v>1.0</v>
      </c>
      <c r="J27" s="14">
        <v>1.0</v>
      </c>
      <c r="K27" s="14">
        <v>1.0</v>
      </c>
      <c r="L27" s="14">
        <v>1.0</v>
      </c>
      <c r="M27" s="15">
        <v>1.0</v>
      </c>
      <c r="N27" s="3"/>
      <c r="O27" s="14">
        <v>1.0</v>
      </c>
      <c r="P27" s="15">
        <v>1.0</v>
      </c>
      <c r="Q27" s="15">
        <v>1.0</v>
      </c>
      <c r="R27" s="15">
        <v>1.0</v>
      </c>
      <c r="S27" s="15">
        <v>1.0</v>
      </c>
      <c r="T27" s="15">
        <v>1.0</v>
      </c>
    </row>
    <row r="28">
      <c r="A28" s="7" t="s">
        <v>63</v>
      </c>
      <c r="B28" s="14">
        <v>1.0</v>
      </c>
      <c r="C28" s="14">
        <v>1.0</v>
      </c>
      <c r="D28" s="14">
        <v>1.0</v>
      </c>
      <c r="E28" s="3" t="s">
        <v>60</v>
      </c>
      <c r="F28" s="14">
        <v>1.0</v>
      </c>
      <c r="G28" s="14">
        <v>1.0</v>
      </c>
      <c r="H28" s="14">
        <v>1.0</v>
      </c>
      <c r="I28" s="14">
        <v>1.0</v>
      </c>
      <c r="J28" s="14">
        <v>1.0</v>
      </c>
      <c r="K28" s="14">
        <v>1.0</v>
      </c>
      <c r="L28" s="14">
        <v>1.0</v>
      </c>
      <c r="M28" s="15">
        <v>1.0</v>
      </c>
      <c r="N28" s="3" t="s">
        <v>61</v>
      </c>
      <c r="O28" s="14">
        <v>1.0</v>
      </c>
      <c r="P28" s="15">
        <v>1.0</v>
      </c>
      <c r="Q28" s="15">
        <v>1.0</v>
      </c>
      <c r="R28" s="15">
        <v>0.0</v>
      </c>
      <c r="S28" s="15">
        <v>0.0</v>
      </c>
      <c r="T28" s="15">
        <v>0.0</v>
      </c>
    </row>
    <row r="29">
      <c r="A29" s="7" t="s">
        <v>64</v>
      </c>
      <c r="B29" s="14">
        <v>1.0</v>
      </c>
      <c r="C29" s="14">
        <v>1.0</v>
      </c>
      <c r="D29" s="14">
        <v>1.0</v>
      </c>
      <c r="E29" s="3" t="s">
        <v>65</v>
      </c>
      <c r="F29" s="14">
        <v>1.0</v>
      </c>
      <c r="G29" s="14">
        <v>1.0</v>
      </c>
      <c r="H29" s="14">
        <v>1.0</v>
      </c>
      <c r="I29" s="14">
        <v>1.0</v>
      </c>
      <c r="J29" s="14">
        <v>1.0</v>
      </c>
      <c r="K29" s="14">
        <v>0.0</v>
      </c>
      <c r="L29" s="14">
        <v>0.0</v>
      </c>
      <c r="M29" s="15">
        <v>1.0</v>
      </c>
      <c r="N29" s="3" t="s">
        <v>66</v>
      </c>
      <c r="O29" s="14">
        <v>0.0</v>
      </c>
      <c r="P29" s="15">
        <v>0.0</v>
      </c>
      <c r="Q29" s="15">
        <v>0.0</v>
      </c>
      <c r="R29" s="15">
        <v>0.0</v>
      </c>
      <c r="S29" s="15">
        <v>0.0</v>
      </c>
      <c r="T29" s="15">
        <v>0.0</v>
      </c>
    </row>
    <row r="30">
      <c r="A30" s="7" t="s">
        <v>67</v>
      </c>
      <c r="B30" s="14">
        <v>100.0</v>
      </c>
      <c r="C30" s="14">
        <v>100.0</v>
      </c>
      <c r="D30" s="14">
        <v>100.0</v>
      </c>
      <c r="E30" s="3" t="s">
        <v>68</v>
      </c>
      <c r="F30" s="14">
        <v>50.0</v>
      </c>
      <c r="G30" s="14">
        <v>50.0</v>
      </c>
      <c r="H30" s="14">
        <v>50.0</v>
      </c>
      <c r="I30" s="14">
        <v>50.0</v>
      </c>
      <c r="J30" s="14">
        <v>50.0</v>
      </c>
      <c r="K30" s="14">
        <v>50.0</v>
      </c>
      <c r="L30" s="14">
        <v>50.0</v>
      </c>
      <c r="M30" s="15">
        <v>50.0</v>
      </c>
      <c r="N30" s="3" t="s">
        <v>69</v>
      </c>
      <c r="O30" s="14">
        <v>50.0</v>
      </c>
      <c r="P30" s="15">
        <v>50.0</v>
      </c>
      <c r="Q30" s="15">
        <v>50.0</v>
      </c>
      <c r="R30" s="15">
        <v>50.0</v>
      </c>
      <c r="S30" s="15">
        <v>50.0</v>
      </c>
      <c r="T30" s="15">
        <v>0.0</v>
      </c>
    </row>
    <row r="31">
      <c r="A31" s="7" t="s">
        <v>70</v>
      </c>
      <c r="B31" s="14">
        <v>40.0</v>
      </c>
      <c r="C31" s="14">
        <v>40.0</v>
      </c>
      <c r="D31" s="14">
        <v>40.0</v>
      </c>
      <c r="E31" s="3" t="s">
        <v>71</v>
      </c>
      <c r="F31" s="14">
        <v>6.0</v>
      </c>
      <c r="G31" s="14">
        <v>6.0</v>
      </c>
      <c r="H31" s="14">
        <v>0.0</v>
      </c>
      <c r="I31" s="14">
        <v>0.0</v>
      </c>
      <c r="J31" s="14">
        <v>0.0</v>
      </c>
      <c r="K31" s="14">
        <v>0.0</v>
      </c>
      <c r="L31" s="14">
        <v>0.0</v>
      </c>
      <c r="M31" s="15">
        <v>0.0</v>
      </c>
      <c r="N31" s="3" t="s">
        <v>72</v>
      </c>
      <c r="O31" s="14">
        <v>0.0</v>
      </c>
      <c r="P31" s="15">
        <v>0.0</v>
      </c>
      <c r="Q31" s="15">
        <v>0.0</v>
      </c>
      <c r="R31" s="15">
        <v>0.0</v>
      </c>
      <c r="S31" s="15">
        <v>0.0</v>
      </c>
      <c r="T31" s="15">
        <v>0.0</v>
      </c>
    </row>
    <row r="32">
      <c r="A32" s="7" t="s">
        <v>73</v>
      </c>
      <c r="B32" s="14">
        <v>1.0</v>
      </c>
      <c r="C32" s="14">
        <v>1.0</v>
      </c>
      <c r="D32" s="14">
        <v>1.0</v>
      </c>
      <c r="E32" s="3" t="s">
        <v>74</v>
      </c>
      <c r="F32" s="14">
        <v>1.0</v>
      </c>
      <c r="G32" s="14">
        <v>1.0</v>
      </c>
      <c r="H32" s="14">
        <v>0.0</v>
      </c>
      <c r="I32" s="14">
        <v>0.0</v>
      </c>
      <c r="J32" s="14">
        <v>0.0</v>
      </c>
      <c r="K32" s="14">
        <v>0.0</v>
      </c>
      <c r="L32" s="14">
        <v>0.0</v>
      </c>
      <c r="M32" s="15">
        <v>0.0</v>
      </c>
      <c r="N32" s="3" t="s">
        <v>75</v>
      </c>
      <c r="O32" s="14">
        <v>0.0</v>
      </c>
      <c r="P32" s="15">
        <v>0.0</v>
      </c>
      <c r="Q32" s="15">
        <v>0.0</v>
      </c>
      <c r="R32" s="15">
        <v>0.0</v>
      </c>
      <c r="S32" s="15">
        <v>0.0</v>
      </c>
      <c r="T32" s="15">
        <v>0.0</v>
      </c>
    </row>
    <row r="33">
      <c r="A33" s="7" t="s">
        <v>76</v>
      </c>
      <c r="B33" s="14">
        <v>1.0</v>
      </c>
      <c r="C33" s="14">
        <v>1.0</v>
      </c>
      <c r="D33" s="14">
        <v>1.0</v>
      </c>
      <c r="E33" s="3" t="s">
        <v>77</v>
      </c>
      <c r="F33" s="14">
        <v>0.0</v>
      </c>
      <c r="G33" s="14">
        <v>0.0</v>
      </c>
      <c r="H33" s="14">
        <v>0.0</v>
      </c>
      <c r="I33" s="14">
        <v>0.0</v>
      </c>
      <c r="J33" s="14">
        <v>0.0</v>
      </c>
      <c r="K33" s="14">
        <v>0.0</v>
      </c>
      <c r="L33" s="14">
        <v>0.0</v>
      </c>
      <c r="M33" s="15">
        <v>0.0</v>
      </c>
      <c r="N33" s="3" t="s">
        <v>61</v>
      </c>
      <c r="O33" s="14">
        <v>0.0</v>
      </c>
      <c r="P33" s="15">
        <v>0.0</v>
      </c>
      <c r="Q33" s="15">
        <v>0.0</v>
      </c>
      <c r="R33" s="15">
        <v>0.0</v>
      </c>
      <c r="S33" s="15">
        <v>0.0</v>
      </c>
      <c r="T33" s="15">
        <v>0.0</v>
      </c>
    </row>
    <row r="34">
      <c r="A34" s="7" t="s">
        <v>78</v>
      </c>
      <c r="B34" s="14">
        <v>1.0</v>
      </c>
      <c r="C34" s="14">
        <v>1.0</v>
      </c>
      <c r="D34" s="14">
        <v>0.0</v>
      </c>
      <c r="E34" s="3" t="s">
        <v>60</v>
      </c>
      <c r="F34" s="14">
        <v>1.0</v>
      </c>
      <c r="G34" s="14">
        <v>1.0</v>
      </c>
      <c r="H34" s="14">
        <v>1.0</v>
      </c>
      <c r="I34" s="14">
        <v>1.0</v>
      </c>
      <c r="J34" s="14">
        <v>0.0</v>
      </c>
      <c r="K34" s="14">
        <v>0.0</v>
      </c>
      <c r="L34" s="14">
        <v>0.0</v>
      </c>
      <c r="M34" s="15">
        <v>0.0</v>
      </c>
      <c r="N34" s="3"/>
      <c r="O34" s="14">
        <v>0.0</v>
      </c>
      <c r="P34" s="15">
        <v>0.0</v>
      </c>
      <c r="Q34" s="15">
        <v>0.0</v>
      </c>
      <c r="R34" s="15">
        <v>0.0</v>
      </c>
      <c r="S34" s="15">
        <v>0.0</v>
      </c>
      <c r="T34" s="15">
        <v>0.0</v>
      </c>
    </row>
    <row r="35">
      <c r="A35" s="7" t="s">
        <v>79</v>
      </c>
      <c r="B35" s="14">
        <v>6.0</v>
      </c>
      <c r="C35" s="14">
        <v>6.0</v>
      </c>
      <c r="D35" s="14">
        <v>6.0</v>
      </c>
      <c r="E35" s="3"/>
      <c r="F35" s="14">
        <v>6.0</v>
      </c>
      <c r="G35" s="14">
        <v>6.0</v>
      </c>
      <c r="H35" s="14">
        <v>6.0</v>
      </c>
      <c r="I35" s="14">
        <v>0.0</v>
      </c>
      <c r="J35" s="14">
        <v>6.0</v>
      </c>
      <c r="K35" s="14">
        <v>6.0</v>
      </c>
      <c r="L35" s="14">
        <v>6.0</v>
      </c>
      <c r="M35" s="15">
        <v>0.0</v>
      </c>
      <c r="N35" s="3"/>
      <c r="O35" s="14">
        <v>6.0</v>
      </c>
      <c r="P35" s="15">
        <v>0.0</v>
      </c>
      <c r="Q35" s="15">
        <v>0.0</v>
      </c>
      <c r="R35" s="15">
        <v>0.0</v>
      </c>
      <c r="S35" s="15">
        <v>0.0</v>
      </c>
      <c r="T35" s="15">
        <v>0.0</v>
      </c>
    </row>
    <row r="36">
      <c r="A36" s="7" t="s">
        <v>80</v>
      </c>
      <c r="B36" s="10" t="str">
        <f t="shared" ref="B36:C36" si="21">C36</f>
        <v>EN13319</v>
      </c>
      <c r="C36" s="10" t="str">
        <f t="shared" si="21"/>
        <v>EN13319</v>
      </c>
      <c r="D36" s="10" t="s">
        <v>81</v>
      </c>
      <c r="E36" s="3"/>
      <c r="F36" s="13" t="s">
        <v>36</v>
      </c>
      <c r="G36" s="13" t="s">
        <v>36</v>
      </c>
      <c r="H36" s="13" t="s">
        <v>36</v>
      </c>
      <c r="I36" s="13" t="s">
        <v>36</v>
      </c>
      <c r="J36" s="13" t="s">
        <v>36</v>
      </c>
      <c r="K36" s="13" t="s">
        <v>36</v>
      </c>
      <c r="L36" s="13" t="s">
        <v>36</v>
      </c>
      <c r="M36" s="13" t="s">
        <v>36</v>
      </c>
      <c r="N36" s="3"/>
      <c r="O36" s="13" t="s">
        <v>36</v>
      </c>
      <c r="P36" s="13" t="s">
        <v>36</v>
      </c>
      <c r="Q36" s="13" t="s">
        <v>36</v>
      </c>
      <c r="R36" s="13" t="s">
        <v>36</v>
      </c>
      <c r="S36" s="13" t="s">
        <v>36</v>
      </c>
      <c r="T36" s="13" t="s">
        <v>36</v>
      </c>
    </row>
    <row r="37">
      <c r="A37" s="7" t="s">
        <v>82</v>
      </c>
      <c r="B37" s="10" t="str">
        <f t="shared" ref="B37:C37" si="22">C37</f>
        <v>810H</v>
      </c>
      <c r="C37" s="10" t="str">
        <f t="shared" si="22"/>
        <v>810H</v>
      </c>
      <c r="D37" s="10" t="s">
        <v>83</v>
      </c>
      <c r="E37" s="3"/>
      <c r="F37" s="13" t="s">
        <v>36</v>
      </c>
      <c r="G37" s="13" t="s">
        <v>36</v>
      </c>
      <c r="H37" s="13" t="s">
        <v>36</v>
      </c>
      <c r="I37" s="13" t="s">
        <v>36</v>
      </c>
      <c r="J37" s="13" t="s">
        <v>36</v>
      </c>
      <c r="K37" s="13" t="s">
        <v>36</v>
      </c>
      <c r="L37" s="13" t="s">
        <v>36</v>
      </c>
      <c r="M37" s="13" t="s">
        <v>36</v>
      </c>
      <c r="N37" s="3"/>
      <c r="O37" s="13" t="s">
        <v>36</v>
      </c>
      <c r="P37" s="13" t="s">
        <v>36</v>
      </c>
      <c r="Q37" s="13" t="s">
        <v>36</v>
      </c>
      <c r="R37" s="13" t="s">
        <v>36</v>
      </c>
      <c r="S37" s="13" t="s">
        <v>36</v>
      </c>
      <c r="T37" s="13" t="s">
        <v>36</v>
      </c>
    </row>
    <row r="38">
      <c r="A38" s="1" t="s">
        <v>84</v>
      </c>
      <c r="B38" s="18" t="str">
        <f t="shared" ref="B38:C38" si="23">C38</f>
        <v>GPS + Cellular</v>
      </c>
      <c r="C38" s="18" t="str">
        <f t="shared" si="23"/>
        <v>GPS + Cellular</v>
      </c>
      <c r="D38" s="18" t="s">
        <v>85</v>
      </c>
      <c r="E38" s="3"/>
      <c r="F38" s="19" t="str">
        <f>G38</f>
        <v>GPS or GPS + Cellular</v>
      </c>
      <c r="G38" s="19" t="str">
        <f t="shared" ref="G38:H38" si="24">$R$38</f>
        <v>GPS or GPS + Cellular</v>
      </c>
      <c r="H38" s="19" t="str">
        <f t="shared" si="24"/>
        <v>GPS or GPS + Cellular</v>
      </c>
      <c r="I38" s="19" t="str">
        <f>J38</f>
        <v>GPS or GPS + Cellular</v>
      </c>
      <c r="J38" s="19" t="str">
        <f t="shared" ref="J38:M38" si="25">$R$38</f>
        <v>GPS or GPS + Cellular</v>
      </c>
      <c r="K38" s="19" t="str">
        <f t="shared" si="25"/>
        <v>GPS or GPS + Cellular</v>
      </c>
      <c r="L38" s="19" t="str">
        <f t="shared" si="25"/>
        <v>GPS or GPS + Cellular</v>
      </c>
      <c r="M38" s="19" t="str">
        <f t="shared" si="25"/>
        <v>GPS or GPS + Cellular</v>
      </c>
      <c r="N38" s="3"/>
      <c r="O38" s="19" t="str">
        <f t="shared" ref="O38:P38" si="26">$R$38</f>
        <v>GPS or GPS + Cellular</v>
      </c>
      <c r="P38" s="19" t="str">
        <f t="shared" si="26"/>
        <v>GPS or GPS + Cellular</v>
      </c>
      <c r="Q38" s="19" t="s">
        <v>86</v>
      </c>
      <c r="R38" s="19" t="s">
        <v>86</v>
      </c>
      <c r="S38" s="23" t="s">
        <v>36</v>
      </c>
      <c r="T38" s="23" t="s">
        <v>36</v>
      </c>
      <c r="U38" s="22"/>
      <c r="V38" s="22"/>
    </row>
    <row r="39">
      <c r="A39" s="7" t="s">
        <v>87</v>
      </c>
      <c r="B39" s="14">
        <v>10.0</v>
      </c>
      <c r="C39" s="14">
        <v>9.0</v>
      </c>
      <c r="D39" s="16">
        <v>8.0</v>
      </c>
      <c r="E39" s="3"/>
      <c r="F39" s="14">
        <v>10.0</v>
      </c>
      <c r="G39" s="14">
        <v>10.0</v>
      </c>
      <c r="H39" s="14">
        <v>9.0</v>
      </c>
      <c r="I39" s="16">
        <v>10.0</v>
      </c>
      <c r="J39" s="16">
        <v>8.0</v>
      </c>
      <c r="K39" s="16">
        <v>7.0</v>
      </c>
      <c r="L39" s="16">
        <v>6.0</v>
      </c>
      <c r="M39" s="15">
        <v>8.0</v>
      </c>
      <c r="N39" s="3"/>
      <c r="O39" s="14">
        <v>5.0</v>
      </c>
      <c r="P39" s="15">
        <v>4.0</v>
      </c>
      <c r="Q39" s="15">
        <v>5.0</v>
      </c>
      <c r="R39" s="15">
        <v>3.0</v>
      </c>
      <c r="S39" s="15">
        <v>2.0</v>
      </c>
      <c r="T39" s="15">
        <v>1.0</v>
      </c>
    </row>
    <row r="40">
      <c r="A40" s="24" t="s">
        <v>88</v>
      </c>
      <c r="B40" s="25">
        <f t="shared" ref="B40:C40" si="27">G40</f>
        <v>11.934</v>
      </c>
      <c r="C40" s="25">
        <f t="shared" si="27"/>
        <v>11.934</v>
      </c>
      <c r="D40" s="25">
        <f>J40</f>
        <v>9.18</v>
      </c>
      <c r="E40" s="3"/>
      <c r="F40" s="25">
        <f t="shared" ref="F40:G40" si="28">G40</f>
        <v>11.934</v>
      </c>
      <c r="G40" s="25">
        <f t="shared" si="28"/>
        <v>11.934</v>
      </c>
      <c r="H40" s="25">
        <f>1.3*J40</f>
        <v>11.934</v>
      </c>
      <c r="I40" s="25">
        <f t="shared" ref="I40:I42" si="30">G40</f>
        <v>11.934</v>
      </c>
      <c r="J40" s="25">
        <f>K40</f>
        <v>9.18</v>
      </c>
      <c r="K40" s="25">
        <f>Q40*1.2</f>
        <v>9.18</v>
      </c>
      <c r="L40" s="25">
        <f>O40*1.2</f>
        <v>9.18</v>
      </c>
      <c r="M40" s="26">
        <f>1.2*Q40</f>
        <v>9.18</v>
      </c>
      <c r="N40" s="3"/>
      <c r="O40" s="25">
        <f>R40*2</f>
        <v>7.65</v>
      </c>
      <c r="P40" s="26">
        <f>R40*2</f>
        <v>7.65</v>
      </c>
      <c r="Q40" s="26">
        <f>O40</f>
        <v>7.65</v>
      </c>
      <c r="R40" s="26">
        <f>S40*1.7</f>
        <v>3.825</v>
      </c>
      <c r="S40" s="26">
        <f t="shared" ref="S40:T40" si="29">T40*1.5</f>
        <v>2.25</v>
      </c>
      <c r="T40" s="26">
        <f t="shared" si="29"/>
        <v>1.5</v>
      </c>
      <c r="U40" s="26">
        <v>1.0</v>
      </c>
      <c r="V40" s="27"/>
    </row>
    <row r="41">
      <c r="A41" s="7" t="s">
        <v>89</v>
      </c>
      <c r="B41" s="14">
        <f t="shared" ref="B41:B42" si="31">G41</f>
        <v>64</v>
      </c>
      <c r="C41" s="14">
        <v>64.0</v>
      </c>
      <c r="D41" s="14">
        <v>64.0</v>
      </c>
      <c r="E41" s="3"/>
      <c r="F41" s="14">
        <f t="shared" ref="F41:F42" si="32">G41</f>
        <v>64</v>
      </c>
      <c r="G41" s="14">
        <v>64.0</v>
      </c>
      <c r="H41" s="14">
        <v>64.0</v>
      </c>
      <c r="I41" s="14">
        <f t="shared" si="30"/>
        <v>64</v>
      </c>
      <c r="J41" s="14">
        <v>64.0</v>
      </c>
      <c r="K41" s="14">
        <v>64.0</v>
      </c>
      <c r="L41" s="14">
        <v>64.0</v>
      </c>
      <c r="M41" s="15">
        <v>64.0</v>
      </c>
      <c r="N41" s="3"/>
      <c r="O41" s="14">
        <v>64.0</v>
      </c>
      <c r="P41" s="15">
        <v>64.0</v>
      </c>
      <c r="Q41" s="15">
        <v>64.0</v>
      </c>
      <c r="R41" s="15">
        <v>32.0</v>
      </c>
      <c r="S41" s="15">
        <v>32.0</v>
      </c>
      <c r="T41" s="15">
        <v>32.0</v>
      </c>
    </row>
    <row r="42">
      <c r="A42" s="7" t="s">
        <v>90</v>
      </c>
      <c r="B42" s="14">
        <f t="shared" si="31"/>
        <v>2</v>
      </c>
      <c r="C42" s="14">
        <v>2.0</v>
      </c>
      <c r="D42" s="14">
        <v>2.0</v>
      </c>
      <c r="E42" s="3"/>
      <c r="F42" s="14">
        <f t="shared" si="32"/>
        <v>2</v>
      </c>
      <c r="G42" s="14">
        <v>2.0</v>
      </c>
      <c r="H42" s="14">
        <v>2.0</v>
      </c>
      <c r="I42" s="14">
        <f t="shared" si="30"/>
        <v>2</v>
      </c>
      <c r="J42" s="14">
        <v>2.0</v>
      </c>
      <c r="K42" s="14">
        <v>2.0</v>
      </c>
      <c r="L42" s="14">
        <v>2.0</v>
      </c>
      <c r="M42" s="15">
        <v>2.0</v>
      </c>
      <c r="N42" s="3"/>
      <c r="O42" s="14">
        <v>2.0</v>
      </c>
      <c r="P42" s="15">
        <v>2.0</v>
      </c>
      <c r="Q42" s="15">
        <v>2.0</v>
      </c>
      <c r="R42" s="15">
        <v>2.0</v>
      </c>
      <c r="S42" s="15">
        <v>2.0</v>
      </c>
      <c r="T42" s="15">
        <v>2.0</v>
      </c>
    </row>
    <row r="43">
      <c r="A43" s="7" t="s">
        <v>91</v>
      </c>
      <c r="B43" s="14">
        <v>1.0</v>
      </c>
      <c r="C43" s="14">
        <v>1.0</v>
      </c>
      <c r="D43" s="14">
        <v>0.0</v>
      </c>
      <c r="E43" s="3"/>
      <c r="F43" s="14">
        <v>1.0</v>
      </c>
      <c r="G43" s="14">
        <v>1.0</v>
      </c>
      <c r="H43" s="14">
        <v>1.0</v>
      </c>
      <c r="I43" s="14">
        <v>1.0</v>
      </c>
      <c r="J43" s="14">
        <v>0.0</v>
      </c>
      <c r="K43" s="14">
        <v>0.0</v>
      </c>
      <c r="L43" s="14">
        <v>0.0</v>
      </c>
      <c r="M43" s="15">
        <v>0.0</v>
      </c>
      <c r="N43" s="3"/>
      <c r="O43" s="14">
        <v>0.0</v>
      </c>
      <c r="P43" s="15">
        <v>0.0</v>
      </c>
      <c r="Q43" s="15">
        <v>0.0</v>
      </c>
      <c r="R43" s="15">
        <v>0.0</v>
      </c>
      <c r="S43" s="15">
        <v>0.0</v>
      </c>
      <c r="T43" s="15">
        <v>0.0</v>
      </c>
    </row>
    <row r="44">
      <c r="A44" s="7" t="s">
        <v>92</v>
      </c>
      <c r="B44" s="14">
        <v>42.0</v>
      </c>
      <c r="C44" s="14">
        <v>36.0</v>
      </c>
      <c r="D44" s="14">
        <v>36.0</v>
      </c>
      <c r="E44" s="3"/>
      <c r="F44" s="14">
        <v>24.0</v>
      </c>
      <c r="G44" s="14">
        <v>18.0</v>
      </c>
      <c r="H44" s="14">
        <v>18.0</v>
      </c>
      <c r="I44" s="14">
        <v>18.0</v>
      </c>
      <c r="J44" s="14">
        <v>18.0</v>
      </c>
      <c r="K44" s="14">
        <v>18.0</v>
      </c>
      <c r="L44" s="14">
        <v>18.0</v>
      </c>
      <c r="M44" s="15">
        <v>18.0</v>
      </c>
      <c r="N44" s="3"/>
      <c r="O44" s="14">
        <v>18.0</v>
      </c>
      <c r="P44" s="15">
        <v>18.0</v>
      </c>
      <c r="Q44" s="15">
        <v>18.0</v>
      </c>
      <c r="R44" s="15">
        <v>18.0</v>
      </c>
      <c r="S44" s="15">
        <v>18.0</v>
      </c>
      <c r="T44" s="15">
        <v>18.0</v>
      </c>
    </row>
    <row r="45">
      <c r="A45" s="7" t="s">
        <v>93</v>
      </c>
      <c r="B45" s="14">
        <v>72.0</v>
      </c>
      <c r="C45" s="14">
        <v>72.0</v>
      </c>
      <c r="D45" s="14">
        <v>72.0</v>
      </c>
      <c r="E45" s="3"/>
      <c r="F45" s="14">
        <v>38.0</v>
      </c>
      <c r="G45" s="14">
        <v>36.0</v>
      </c>
      <c r="H45" s="14">
        <v>36.0</v>
      </c>
      <c r="I45" s="14">
        <v>32.0</v>
      </c>
      <c r="J45" s="14">
        <v>0.0</v>
      </c>
      <c r="K45" s="14">
        <v>0.0</v>
      </c>
      <c r="L45" s="14">
        <v>0.0</v>
      </c>
      <c r="M45" s="15">
        <v>0.0</v>
      </c>
      <c r="N45" s="3"/>
      <c r="O45" s="14">
        <v>0.0</v>
      </c>
      <c r="P45" s="15">
        <v>0.0</v>
      </c>
      <c r="Q45" s="15">
        <v>0.0</v>
      </c>
      <c r="R45" s="15">
        <v>0.0</v>
      </c>
      <c r="S45" s="15">
        <v>0.0</v>
      </c>
      <c r="T45" s="15">
        <v>0.0</v>
      </c>
    </row>
    <row r="46">
      <c r="A46" s="7" t="s">
        <v>94</v>
      </c>
      <c r="B46" s="14">
        <v>45.0</v>
      </c>
      <c r="C46" s="14">
        <v>60.0</v>
      </c>
      <c r="D46" s="14">
        <v>60.0</v>
      </c>
      <c r="E46" s="3"/>
      <c r="F46" s="14">
        <v>30.0</v>
      </c>
      <c r="G46" s="14">
        <v>30.0</v>
      </c>
      <c r="H46" s="14">
        <v>45.0</v>
      </c>
      <c r="I46" s="14">
        <v>45.0</v>
      </c>
      <c r="J46" s="14">
        <v>45.0</v>
      </c>
      <c r="K46" s="14">
        <v>45.0</v>
      </c>
      <c r="L46" s="14">
        <v>120.0</v>
      </c>
      <c r="M46" s="15">
        <v>120.0</v>
      </c>
      <c r="N46" s="3"/>
      <c r="O46" s="14">
        <v>120.0</v>
      </c>
      <c r="P46" s="15">
        <v>120.0</v>
      </c>
      <c r="Q46" s="15">
        <v>120.0</v>
      </c>
      <c r="R46" s="15">
        <v>120.0</v>
      </c>
      <c r="S46" s="15">
        <v>120.0</v>
      </c>
      <c r="T46" s="15">
        <v>120.0</v>
      </c>
    </row>
    <row r="47">
      <c r="A47" s="1" t="s">
        <v>95</v>
      </c>
      <c r="B47" s="16" t="s">
        <v>36</v>
      </c>
      <c r="C47" s="16" t="s">
        <v>36</v>
      </c>
      <c r="D47" s="16" t="s">
        <v>36</v>
      </c>
      <c r="E47" s="3"/>
      <c r="F47" s="16" t="s">
        <v>96</v>
      </c>
      <c r="G47" s="16" t="s">
        <v>97</v>
      </c>
      <c r="H47" s="16" t="s">
        <v>98</v>
      </c>
      <c r="I47" s="16" t="s">
        <v>99</v>
      </c>
      <c r="J47" s="16" t="s">
        <v>100</v>
      </c>
      <c r="K47" s="16" t="s">
        <v>101</v>
      </c>
      <c r="L47" s="16" t="s">
        <v>102</v>
      </c>
      <c r="M47" s="20" t="s">
        <v>103</v>
      </c>
      <c r="N47" s="3"/>
      <c r="O47" s="16" t="str">
        <f t="shared" ref="O47:O48" si="33">P47</f>
        <v>midnight, starlight, silver</v>
      </c>
      <c r="P47" s="20" t="s">
        <v>103</v>
      </c>
      <c r="Q47" s="20" t="str">
        <f>R47</f>
        <v>space gray, silver, gold</v>
      </c>
      <c r="R47" s="20" t="s">
        <v>104</v>
      </c>
      <c r="S47" s="20" t="str">
        <f t="shared" ref="S47:S48" si="34">T47</f>
        <v>space gray, silver, rose gold, gold</v>
      </c>
      <c r="T47" s="20" t="s">
        <v>105</v>
      </c>
      <c r="U47" s="17"/>
      <c r="V47" s="17"/>
    </row>
    <row r="48">
      <c r="A48" s="1" t="s">
        <v>106</v>
      </c>
      <c r="B48" s="16" t="s">
        <v>36</v>
      </c>
      <c r="C48" s="16" t="s">
        <v>36</v>
      </c>
      <c r="D48" s="16" t="s">
        <v>36</v>
      </c>
      <c r="E48" s="3"/>
      <c r="F48" s="16" t="s">
        <v>36</v>
      </c>
      <c r="G48" s="16" t="s">
        <v>36</v>
      </c>
      <c r="H48" s="16" t="str">
        <f>L48</f>
        <v>graphite, silver, gold</v>
      </c>
      <c r="I48" s="16" t="s">
        <v>36</v>
      </c>
      <c r="J48" s="16" t="str">
        <f>L48</f>
        <v>graphite, silver, gold</v>
      </c>
      <c r="K48" s="16" t="str">
        <f>L48</f>
        <v>graphite, silver, gold</v>
      </c>
      <c r="L48" s="16" t="s">
        <v>107</v>
      </c>
      <c r="M48" s="20" t="s">
        <v>36</v>
      </c>
      <c r="N48" s="3"/>
      <c r="O48" s="16" t="str">
        <f t="shared" si="33"/>
        <v>space black, gold, silver</v>
      </c>
      <c r="P48" s="20" t="s">
        <v>108</v>
      </c>
      <c r="Q48" s="20" t="s">
        <v>36</v>
      </c>
      <c r="R48" s="20" t="str">
        <f>T48</f>
        <v>space black, silver</v>
      </c>
      <c r="S48" s="20" t="str">
        <f t="shared" si="34"/>
        <v>space black, silver</v>
      </c>
      <c r="T48" s="20" t="s">
        <v>109</v>
      </c>
      <c r="U48" s="17"/>
      <c r="V48" s="17"/>
    </row>
    <row r="49">
      <c r="A49" s="1" t="s">
        <v>110</v>
      </c>
      <c r="B49" s="16" t="s">
        <v>36</v>
      </c>
      <c r="C49" s="16" t="s">
        <v>36</v>
      </c>
      <c r="D49" s="16" t="s">
        <v>36</v>
      </c>
      <c r="E49" s="3"/>
      <c r="F49" s="16" t="s">
        <v>36</v>
      </c>
      <c r="G49" s="16" t="s">
        <v>36</v>
      </c>
      <c r="H49" s="16" t="s">
        <v>36</v>
      </c>
      <c r="I49" s="16" t="s">
        <v>36</v>
      </c>
      <c r="J49" s="16" t="s">
        <v>36</v>
      </c>
      <c r="K49" s="16" t="s">
        <v>36</v>
      </c>
      <c r="L49" s="16" t="s">
        <v>36</v>
      </c>
      <c r="M49" s="20" t="s">
        <v>36</v>
      </c>
      <c r="N49" s="3"/>
      <c r="O49" s="16" t="s">
        <v>111</v>
      </c>
      <c r="P49" s="20" t="s">
        <v>36</v>
      </c>
      <c r="Q49" s="20" t="s">
        <v>36</v>
      </c>
      <c r="R49" s="20" t="s">
        <v>112</v>
      </c>
      <c r="S49" s="20" t="s">
        <v>113</v>
      </c>
      <c r="T49" s="20" t="s">
        <v>36</v>
      </c>
      <c r="U49" s="17"/>
      <c r="V49" s="17"/>
    </row>
    <row r="50">
      <c r="A50" s="1" t="s">
        <v>114</v>
      </c>
      <c r="B50" s="16" t="s">
        <v>115</v>
      </c>
      <c r="C50" s="16" t="s">
        <v>115</v>
      </c>
      <c r="D50" s="16" t="s">
        <v>116</v>
      </c>
      <c r="E50" s="3"/>
      <c r="F50" s="16" t="s">
        <v>117</v>
      </c>
      <c r="G50" s="16" t="s">
        <v>117</v>
      </c>
      <c r="H50" s="16" t="s">
        <v>36</v>
      </c>
      <c r="I50" s="16" t="s">
        <v>36</v>
      </c>
      <c r="J50" s="16" t="s">
        <v>36</v>
      </c>
      <c r="K50" s="16" t="s">
        <v>118</v>
      </c>
      <c r="L50" s="16" t="s">
        <v>118</v>
      </c>
      <c r="M50" s="20" t="s">
        <v>36</v>
      </c>
      <c r="N50" s="3"/>
      <c r="O50" s="16" t="s">
        <v>118</v>
      </c>
      <c r="P50" s="20" t="s">
        <v>36</v>
      </c>
      <c r="Q50" s="20" t="s">
        <v>36</v>
      </c>
      <c r="R50" s="20" t="s">
        <v>36</v>
      </c>
      <c r="S50" s="20" t="s">
        <v>36</v>
      </c>
      <c r="T50" s="20" t="s">
        <v>36</v>
      </c>
      <c r="U50" s="17"/>
      <c r="V50" s="17"/>
    </row>
    <row r="51">
      <c r="A51" s="7" t="s">
        <v>119</v>
      </c>
      <c r="B51" s="14">
        <v>0.0</v>
      </c>
      <c r="C51" s="14">
        <v>0.0</v>
      </c>
      <c r="D51" s="14">
        <v>0.0</v>
      </c>
      <c r="E51" s="3"/>
      <c r="F51" s="14">
        <v>0.0</v>
      </c>
      <c r="G51" s="14">
        <v>0.0</v>
      </c>
      <c r="H51" s="14">
        <v>0.0</v>
      </c>
      <c r="I51" s="14">
        <v>0.0</v>
      </c>
      <c r="J51" s="14">
        <v>0.0</v>
      </c>
      <c r="K51" s="14">
        <v>0.0</v>
      </c>
      <c r="L51" s="14">
        <v>0.0</v>
      </c>
      <c r="M51" s="15">
        <v>0.0</v>
      </c>
      <c r="N51" s="3"/>
      <c r="O51" s="14">
        <v>0.0</v>
      </c>
      <c r="P51" s="15">
        <v>0.0</v>
      </c>
      <c r="Q51" s="15">
        <v>0.0</v>
      </c>
      <c r="R51" s="15">
        <v>0.0</v>
      </c>
      <c r="S51" s="15">
        <v>0.0</v>
      </c>
      <c r="T51" s="15">
        <v>1.0</v>
      </c>
    </row>
    <row r="52">
      <c r="A52" s="7" t="s">
        <v>120</v>
      </c>
      <c r="B52" s="14">
        <v>1.0</v>
      </c>
      <c r="C52" s="14">
        <v>1.0</v>
      </c>
      <c r="D52" s="14">
        <v>0.0</v>
      </c>
      <c r="E52" s="3"/>
      <c r="F52" s="14">
        <v>1.0</v>
      </c>
      <c r="G52" s="14">
        <v>1.0</v>
      </c>
      <c r="H52" s="14">
        <v>1.0</v>
      </c>
      <c r="I52" s="14">
        <v>0.0</v>
      </c>
      <c r="J52" s="14">
        <v>1.0</v>
      </c>
      <c r="K52" s="14">
        <v>1.0</v>
      </c>
      <c r="L52" s="14">
        <v>1.0</v>
      </c>
      <c r="M52" s="15">
        <v>0.0</v>
      </c>
      <c r="N52" s="3"/>
      <c r="O52" s="14">
        <v>1.0</v>
      </c>
      <c r="P52" s="15">
        <v>1.0</v>
      </c>
      <c r="Q52" s="15">
        <v>0.0</v>
      </c>
      <c r="R52" s="15">
        <v>1.0</v>
      </c>
      <c r="S52" s="15">
        <v>1.0</v>
      </c>
      <c r="T52" s="15">
        <v>1.0</v>
      </c>
    </row>
    <row r="53">
      <c r="A53" s="1" t="s">
        <v>121</v>
      </c>
      <c r="B53" s="16" t="str">
        <f t="shared" ref="B53:C53" si="35">C53</f>
        <v>Ceramic and sapphire crystal</v>
      </c>
      <c r="C53" s="16" t="str">
        <f t="shared" si="35"/>
        <v>Ceramic and sapphire crystal</v>
      </c>
      <c r="D53" s="16" t="s">
        <v>122</v>
      </c>
      <c r="E53" s="3"/>
      <c r="F53" s="16" t="s">
        <v>123</v>
      </c>
      <c r="G53" s="16" t="s">
        <v>123</v>
      </c>
      <c r="H53" s="16" t="str">
        <f>$O$53</f>
        <v>Ceramic and sapphire crystal</v>
      </c>
      <c r="I53" s="16" t="s">
        <v>124</v>
      </c>
      <c r="J53" s="16" t="str">
        <f t="shared" ref="J53:L53" si="36">$O$53</f>
        <v>Ceramic and sapphire crystal</v>
      </c>
      <c r="K53" s="16" t="str">
        <f t="shared" si="36"/>
        <v>Ceramic and sapphire crystal</v>
      </c>
      <c r="L53" s="16" t="str">
        <f t="shared" si="36"/>
        <v>Ceramic and sapphire crystal</v>
      </c>
      <c r="M53" s="16" t="s">
        <v>124</v>
      </c>
      <c r="N53" s="3"/>
      <c r="O53" s="16" t="s">
        <v>122</v>
      </c>
      <c r="P53" s="16" t="s">
        <v>122</v>
      </c>
      <c r="Q53" s="16" t="str">
        <f>S53</f>
        <v>Ceramic and sapphire crystal</v>
      </c>
      <c r="R53" s="16" t="s">
        <v>125</v>
      </c>
      <c r="S53" s="16" t="str">
        <f>T53</f>
        <v>Ceramic and sapphire crystal</v>
      </c>
      <c r="T53" s="16" t="s">
        <v>122</v>
      </c>
      <c r="U53" s="22"/>
      <c r="V53" s="22"/>
    </row>
    <row r="54">
      <c r="A54" s="7" t="s">
        <v>126</v>
      </c>
      <c r="B54" s="14">
        <v>3.0</v>
      </c>
      <c r="C54" s="14">
        <v>3.0</v>
      </c>
      <c r="D54" s="14">
        <v>3.0</v>
      </c>
      <c r="E54" s="3"/>
      <c r="F54" s="14">
        <v>3.0</v>
      </c>
      <c r="G54" s="14">
        <v>3.0</v>
      </c>
      <c r="H54" s="14">
        <v>3.0</v>
      </c>
      <c r="I54" s="14">
        <v>2.0</v>
      </c>
      <c r="J54" s="14">
        <v>3.0</v>
      </c>
      <c r="K54" s="14">
        <v>3.0</v>
      </c>
      <c r="L54" s="14">
        <v>3.0</v>
      </c>
      <c r="M54" s="15">
        <v>2.0</v>
      </c>
      <c r="N54" s="3"/>
      <c r="O54" s="14">
        <v>2.0</v>
      </c>
      <c r="P54" s="15">
        <v>2.0</v>
      </c>
      <c r="Q54" s="15">
        <v>2.0</v>
      </c>
      <c r="R54" s="15">
        <v>1.0</v>
      </c>
      <c r="S54" s="15">
        <v>1.0</v>
      </c>
      <c r="T54" s="15">
        <v>1.0</v>
      </c>
    </row>
    <row r="55">
      <c r="A55" s="7" t="s">
        <v>127</v>
      </c>
      <c r="B55" s="14">
        <v>1.0</v>
      </c>
      <c r="C55" s="14">
        <v>1.0</v>
      </c>
      <c r="D55" s="14">
        <v>1.0</v>
      </c>
      <c r="E55" s="3"/>
      <c r="F55" s="15">
        <v>0.0</v>
      </c>
      <c r="G55" s="15">
        <v>0.0</v>
      </c>
      <c r="H55" s="15">
        <v>0.0</v>
      </c>
      <c r="I55" s="15">
        <v>0.0</v>
      </c>
      <c r="J55" s="15">
        <v>0.0</v>
      </c>
      <c r="K55" s="15">
        <v>0.0</v>
      </c>
      <c r="L55" s="15">
        <v>0.0</v>
      </c>
      <c r="M55" s="15">
        <v>0.0</v>
      </c>
      <c r="N55" s="3"/>
      <c r="O55" s="15">
        <v>0.0</v>
      </c>
      <c r="P55" s="15">
        <v>0.0</v>
      </c>
      <c r="Q55" s="15">
        <v>0.0</v>
      </c>
      <c r="R55" s="15">
        <v>0.0</v>
      </c>
      <c r="S55" s="15">
        <v>0.0</v>
      </c>
      <c r="T55" s="15">
        <v>0.0</v>
      </c>
    </row>
    <row r="56">
      <c r="A56" s="7" t="s">
        <v>128</v>
      </c>
      <c r="B56" s="14">
        <v>1.0</v>
      </c>
      <c r="C56" s="14">
        <v>0.0</v>
      </c>
      <c r="D56" s="14">
        <v>0.0</v>
      </c>
      <c r="E56" s="3"/>
      <c r="F56" s="14">
        <v>0.0</v>
      </c>
      <c r="G56" s="14">
        <v>0.0</v>
      </c>
      <c r="H56" s="14">
        <v>0.0</v>
      </c>
      <c r="I56" s="14">
        <v>0.0</v>
      </c>
      <c r="J56" s="14">
        <v>0.0</v>
      </c>
      <c r="K56" s="14">
        <v>0.0</v>
      </c>
      <c r="L56" s="14">
        <v>0.0</v>
      </c>
      <c r="M56" s="15">
        <v>0.0</v>
      </c>
      <c r="N56" s="3"/>
      <c r="O56" s="14">
        <v>0.0</v>
      </c>
      <c r="P56" s="15">
        <v>0.0</v>
      </c>
      <c r="Q56" s="15">
        <v>0.0</v>
      </c>
      <c r="R56" s="15">
        <v>0.0</v>
      </c>
      <c r="S56" s="15">
        <v>0.0</v>
      </c>
      <c r="T56" s="15">
        <v>0.0</v>
      </c>
    </row>
    <row r="57">
      <c r="A57" s="7" t="s">
        <v>129</v>
      </c>
      <c r="B57" s="14">
        <v>1.0</v>
      </c>
      <c r="C57" s="14">
        <v>0.0</v>
      </c>
      <c r="D57" s="14">
        <v>0.0</v>
      </c>
      <c r="E57" s="3"/>
      <c r="F57" s="14">
        <v>1.0</v>
      </c>
      <c r="G57" s="14">
        <v>0.0</v>
      </c>
      <c r="H57" s="14">
        <v>0.0</v>
      </c>
      <c r="I57" s="14">
        <v>1.0</v>
      </c>
      <c r="J57" s="14">
        <v>0.0</v>
      </c>
      <c r="K57" s="14">
        <v>0.0</v>
      </c>
      <c r="L57" s="14">
        <v>0.0</v>
      </c>
      <c r="M57" s="15">
        <v>0.0</v>
      </c>
      <c r="N57" s="3"/>
      <c r="O57" s="14">
        <v>0.0</v>
      </c>
      <c r="P57" s="15">
        <v>0.0</v>
      </c>
      <c r="Q57" s="15">
        <v>0.0</v>
      </c>
      <c r="R57" s="15">
        <v>0.0</v>
      </c>
      <c r="S57" s="15">
        <v>0.0</v>
      </c>
      <c r="T57" s="15">
        <v>0.0</v>
      </c>
    </row>
    <row r="58">
      <c r="A58" s="7" t="s">
        <v>130</v>
      </c>
      <c r="B58" s="14">
        <v>1.0</v>
      </c>
      <c r="C58" s="14">
        <v>1.0</v>
      </c>
      <c r="D58" s="14">
        <v>1.0</v>
      </c>
      <c r="E58" s="3"/>
      <c r="F58" s="14">
        <v>1.0</v>
      </c>
      <c r="G58" s="14">
        <v>1.0</v>
      </c>
      <c r="H58" s="14">
        <v>1.0</v>
      </c>
      <c r="I58" s="14">
        <v>1.0</v>
      </c>
      <c r="J58" s="14">
        <v>1.0</v>
      </c>
      <c r="K58" s="14">
        <v>1.0</v>
      </c>
      <c r="L58" s="14">
        <v>1.0</v>
      </c>
      <c r="M58" s="15">
        <v>1.0</v>
      </c>
      <c r="N58" s="3"/>
      <c r="O58" s="14">
        <v>1.0</v>
      </c>
      <c r="P58" s="15">
        <v>1.0</v>
      </c>
      <c r="Q58" s="15">
        <v>1.0</v>
      </c>
      <c r="R58" s="15">
        <v>1.0</v>
      </c>
      <c r="S58" s="15">
        <v>0.0</v>
      </c>
      <c r="T58" s="15">
        <v>0.0</v>
      </c>
    </row>
    <row r="59">
      <c r="A59" s="7" t="s">
        <v>131</v>
      </c>
      <c r="B59" s="14">
        <v>0.0</v>
      </c>
      <c r="C59" s="14">
        <v>1.0</v>
      </c>
      <c r="D59" s="14">
        <v>1.0</v>
      </c>
      <c r="E59" s="3"/>
      <c r="F59" s="28">
        <v>0.0</v>
      </c>
      <c r="G59" s="14">
        <v>1.0</v>
      </c>
      <c r="H59" s="14">
        <v>1.0</v>
      </c>
      <c r="I59" s="28">
        <v>0.0</v>
      </c>
      <c r="J59" s="14">
        <v>1.0</v>
      </c>
      <c r="K59" s="14">
        <v>1.0</v>
      </c>
      <c r="L59" s="14">
        <v>1.0</v>
      </c>
      <c r="M59" s="15">
        <v>1.0</v>
      </c>
      <c r="N59" s="3"/>
      <c r="O59" s="14">
        <v>1.0</v>
      </c>
      <c r="P59" s="15">
        <v>1.0</v>
      </c>
      <c r="Q59" s="15">
        <v>1.0</v>
      </c>
      <c r="R59" s="15">
        <v>1.0</v>
      </c>
      <c r="S59" s="15">
        <v>0.0</v>
      </c>
      <c r="T59" s="15">
        <v>0.0</v>
      </c>
    </row>
    <row r="60">
      <c r="A60" s="7" t="s">
        <v>132</v>
      </c>
      <c r="B60" s="14">
        <v>2.0</v>
      </c>
      <c r="C60" s="14">
        <v>2.0</v>
      </c>
      <c r="D60" s="16">
        <v>2.0</v>
      </c>
      <c r="E60" s="3"/>
      <c r="F60" s="14">
        <v>1.0</v>
      </c>
      <c r="G60" s="14">
        <v>1.0</v>
      </c>
      <c r="H60" s="14">
        <v>1.0</v>
      </c>
      <c r="I60" s="14">
        <v>1.0</v>
      </c>
      <c r="J60" s="14">
        <v>1.0</v>
      </c>
      <c r="K60" s="14">
        <v>1.0</v>
      </c>
      <c r="L60" s="14">
        <v>1.0</v>
      </c>
      <c r="M60" s="15">
        <v>1.0</v>
      </c>
      <c r="N60" s="3"/>
      <c r="O60" s="14">
        <v>1.0</v>
      </c>
      <c r="P60" s="15">
        <v>1.0</v>
      </c>
      <c r="Q60" s="15">
        <v>1.0</v>
      </c>
      <c r="R60" s="15">
        <v>1.0</v>
      </c>
      <c r="S60" s="15">
        <v>1.0</v>
      </c>
      <c r="T60" s="15">
        <v>1.0</v>
      </c>
    </row>
    <row r="61">
      <c r="A61" s="7" t="s">
        <v>133</v>
      </c>
      <c r="B61" s="14">
        <v>1.0</v>
      </c>
      <c r="C61" s="14">
        <v>1.0</v>
      </c>
      <c r="D61" s="16">
        <v>0.0</v>
      </c>
      <c r="E61" s="3"/>
      <c r="F61" s="14">
        <v>1.0</v>
      </c>
      <c r="G61" s="14">
        <v>1.0</v>
      </c>
      <c r="H61" s="14">
        <v>0.0</v>
      </c>
      <c r="I61" s="14">
        <v>1.0</v>
      </c>
      <c r="J61" s="14">
        <v>0.0</v>
      </c>
      <c r="K61" s="14">
        <v>0.0</v>
      </c>
      <c r="L61" s="14">
        <v>0.0</v>
      </c>
      <c r="M61" s="15">
        <v>0.0</v>
      </c>
      <c r="N61" s="3"/>
      <c r="O61" s="14">
        <v>0.0</v>
      </c>
      <c r="P61" s="15">
        <v>0.0</v>
      </c>
      <c r="Q61" s="15">
        <v>0.0</v>
      </c>
      <c r="R61" s="15">
        <v>0.0</v>
      </c>
      <c r="S61" s="15">
        <v>0.0</v>
      </c>
      <c r="T61" s="15">
        <v>0.0</v>
      </c>
    </row>
    <row r="62">
      <c r="A62" s="1" t="s">
        <v>134</v>
      </c>
      <c r="B62" s="18" t="str">
        <f t="shared" ref="B62:C62" si="37">C62</f>
        <v>3 with beamforming</v>
      </c>
      <c r="C62" s="18" t="str">
        <f t="shared" si="37"/>
        <v>3 with beamforming</v>
      </c>
      <c r="D62" s="18" t="s">
        <v>135</v>
      </c>
      <c r="E62" s="3"/>
      <c r="F62" s="16" t="s">
        <v>136</v>
      </c>
      <c r="G62" s="16" t="s">
        <v>136</v>
      </c>
      <c r="H62" s="21">
        <v>1.0</v>
      </c>
      <c r="I62" s="16" t="s">
        <v>136</v>
      </c>
      <c r="J62" s="21">
        <v>1.0</v>
      </c>
      <c r="K62" s="21">
        <v>1.0</v>
      </c>
      <c r="L62" s="21">
        <v>1.0</v>
      </c>
      <c r="M62" s="21">
        <v>1.0</v>
      </c>
      <c r="N62" s="3"/>
      <c r="O62" s="21">
        <v>1.0</v>
      </c>
      <c r="P62" s="21">
        <v>1.0</v>
      </c>
      <c r="Q62" s="21">
        <v>1.0</v>
      </c>
      <c r="R62" s="21">
        <v>1.0</v>
      </c>
      <c r="S62" s="21">
        <v>1.0</v>
      </c>
      <c r="T62" s="21">
        <v>1.0</v>
      </c>
      <c r="U62" s="17"/>
      <c r="V62" s="17"/>
    </row>
    <row r="63">
      <c r="A63" s="7" t="s">
        <v>137</v>
      </c>
      <c r="B63" s="14">
        <v>64.0</v>
      </c>
      <c r="C63" s="14">
        <v>64.0</v>
      </c>
      <c r="D63" s="14">
        <v>32.0</v>
      </c>
      <c r="E63" s="3"/>
      <c r="F63" s="14">
        <v>64.0</v>
      </c>
      <c r="G63" s="14">
        <v>64.0</v>
      </c>
      <c r="H63" s="14">
        <v>64.0</v>
      </c>
      <c r="I63" s="14">
        <v>64.0</v>
      </c>
      <c r="J63" s="14">
        <v>32.0</v>
      </c>
      <c r="K63" s="14">
        <v>32.0</v>
      </c>
      <c r="L63" s="14">
        <v>32.0</v>
      </c>
      <c r="M63" s="15">
        <v>32.0</v>
      </c>
      <c r="N63" s="3"/>
      <c r="O63" s="14">
        <v>32.0</v>
      </c>
      <c r="P63" s="15">
        <v>16.0</v>
      </c>
      <c r="Q63" s="15">
        <v>32.0</v>
      </c>
      <c r="R63" s="15">
        <f>average(16, 8)</f>
        <v>12</v>
      </c>
      <c r="S63" s="15">
        <v>8.0</v>
      </c>
      <c r="T63" s="15">
        <v>8.0</v>
      </c>
    </row>
    <row r="64">
      <c r="A64" s="7" t="s">
        <v>138</v>
      </c>
      <c r="B64" s="10" t="s">
        <v>139</v>
      </c>
      <c r="C64" s="10" t="s">
        <v>139</v>
      </c>
      <c r="D64" s="10" t="s">
        <v>139</v>
      </c>
      <c r="E64" s="3"/>
      <c r="F64" s="10" t="s">
        <v>139</v>
      </c>
      <c r="G64" s="10" t="s">
        <v>139</v>
      </c>
      <c r="H64" s="10" t="s">
        <v>139</v>
      </c>
      <c r="I64" s="10" t="s">
        <v>139</v>
      </c>
      <c r="J64" s="10" t="s">
        <v>139</v>
      </c>
      <c r="K64" s="13" t="s">
        <v>140</v>
      </c>
      <c r="L64" s="13" t="s">
        <v>140</v>
      </c>
      <c r="M64" s="11" t="s">
        <v>139</v>
      </c>
      <c r="N64" s="3"/>
      <c r="O64" s="13" t="s">
        <v>140</v>
      </c>
      <c r="P64" s="13" t="s">
        <v>140</v>
      </c>
      <c r="Q64" s="13" t="s">
        <v>140</v>
      </c>
      <c r="R64" s="13" t="s">
        <v>140</v>
      </c>
      <c r="S64" s="13" t="s">
        <v>140</v>
      </c>
      <c r="T64" s="13" t="s">
        <v>140</v>
      </c>
    </row>
    <row r="65">
      <c r="A65" s="7" t="s">
        <v>141</v>
      </c>
      <c r="B65" s="14">
        <v>4.0</v>
      </c>
      <c r="C65" s="14">
        <v>4.0</v>
      </c>
      <c r="D65" s="15">
        <v>4.0</v>
      </c>
      <c r="E65" s="3"/>
      <c r="F65" s="15">
        <v>4.0</v>
      </c>
      <c r="G65" s="15">
        <v>4.0</v>
      </c>
      <c r="H65" s="15">
        <v>4.0</v>
      </c>
      <c r="I65" s="15">
        <v>4.0</v>
      </c>
      <c r="J65" s="15">
        <v>0.0</v>
      </c>
      <c r="K65" s="15">
        <v>0.0</v>
      </c>
      <c r="L65" s="14">
        <v>0.0</v>
      </c>
      <c r="M65" s="15">
        <v>0.0</v>
      </c>
      <c r="N65" s="3"/>
      <c r="O65" s="14">
        <v>0.0</v>
      </c>
      <c r="P65" s="15">
        <v>0.0</v>
      </c>
      <c r="Q65" s="15">
        <v>0.0</v>
      </c>
      <c r="R65" s="15">
        <v>0.0</v>
      </c>
      <c r="S65" s="15">
        <v>0.0</v>
      </c>
      <c r="T65" s="15">
        <v>0.0</v>
      </c>
    </row>
    <row r="66">
      <c r="A66" s="7" t="s">
        <v>142</v>
      </c>
      <c r="B66" s="10">
        <v>4.0</v>
      </c>
      <c r="C66" s="10">
        <v>4.0</v>
      </c>
      <c r="D66" s="11">
        <v>4.0</v>
      </c>
      <c r="E66" s="3"/>
      <c r="F66" s="10">
        <v>4.0</v>
      </c>
      <c r="G66" s="11">
        <v>4.0</v>
      </c>
      <c r="H66" s="11">
        <v>4.0</v>
      </c>
      <c r="I66" s="10">
        <v>4.0</v>
      </c>
      <c r="J66" s="11">
        <v>4.0</v>
      </c>
      <c r="K66" s="11">
        <v>4.0</v>
      </c>
      <c r="L66" s="10">
        <v>4.0</v>
      </c>
      <c r="M66" s="11">
        <v>4.0</v>
      </c>
      <c r="N66" s="3"/>
      <c r="O66" s="10">
        <v>4.0</v>
      </c>
      <c r="P66" s="11">
        <v>4.0</v>
      </c>
      <c r="Q66" s="11">
        <v>4.0</v>
      </c>
      <c r="R66" s="11">
        <v>4.0</v>
      </c>
      <c r="S66" s="11">
        <v>4.0</v>
      </c>
      <c r="T66" s="11">
        <v>4.0</v>
      </c>
    </row>
    <row r="67">
      <c r="A67" s="7" t="s">
        <v>143</v>
      </c>
      <c r="B67" s="14">
        <v>3.0</v>
      </c>
      <c r="C67" s="14">
        <v>3.0</v>
      </c>
      <c r="D67" s="14">
        <v>3.0</v>
      </c>
      <c r="E67" s="3"/>
      <c r="F67" s="14">
        <v>3.0</v>
      </c>
      <c r="G67" s="14">
        <v>3.0</v>
      </c>
      <c r="H67" s="14">
        <v>3.0</v>
      </c>
      <c r="I67" s="14">
        <v>3.0</v>
      </c>
      <c r="J67" s="14">
        <v>3.0</v>
      </c>
      <c r="K67" s="14">
        <v>3.0</v>
      </c>
      <c r="L67" s="14">
        <v>3.0</v>
      </c>
      <c r="M67" s="15">
        <v>3.0</v>
      </c>
      <c r="N67" s="3"/>
      <c r="O67" s="14">
        <v>3.0</v>
      </c>
      <c r="P67" s="15">
        <v>3.0</v>
      </c>
      <c r="Q67" s="15">
        <v>3.0</v>
      </c>
      <c r="R67" s="15">
        <v>2.0</v>
      </c>
      <c r="S67" s="15">
        <v>0.0</v>
      </c>
      <c r="T67" s="15">
        <v>0.0</v>
      </c>
    </row>
    <row r="68">
      <c r="A68" s="7" t="s">
        <v>144</v>
      </c>
      <c r="B68" s="14">
        <v>2.0</v>
      </c>
      <c r="C68" s="14">
        <v>2.0</v>
      </c>
      <c r="D68" s="14">
        <v>1.0</v>
      </c>
      <c r="E68" s="3"/>
      <c r="F68" s="14">
        <v>2.0</v>
      </c>
      <c r="G68" s="14">
        <v>2.0</v>
      </c>
      <c r="H68" s="14">
        <v>2.0</v>
      </c>
      <c r="I68" s="14">
        <v>0.0</v>
      </c>
      <c r="J68" s="14">
        <v>1.0</v>
      </c>
      <c r="K68" s="14">
        <v>1.0</v>
      </c>
      <c r="L68" s="14">
        <v>1.0</v>
      </c>
      <c r="M68" s="15">
        <v>0.0</v>
      </c>
      <c r="N68" s="3"/>
      <c r="O68" s="15">
        <v>0.0</v>
      </c>
      <c r="P68" s="15">
        <v>0.0</v>
      </c>
      <c r="Q68" s="15">
        <v>0.0</v>
      </c>
      <c r="R68" s="15">
        <v>0.0</v>
      </c>
      <c r="S68" s="15">
        <v>0.0</v>
      </c>
      <c r="T68" s="15">
        <v>0.0</v>
      </c>
    </row>
    <row r="69">
      <c r="A69" s="7" t="s">
        <v>145</v>
      </c>
      <c r="B69" s="14">
        <v>5.3</v>
      </c>
      <c r="C69" s="14">
        <v>5.3</v>
      </c>
      <c r="D69" s="14">
        <v>5.3</v>
      </c>
      <c r="E69" s="3"/>
      <c r="F69" s="14">
        <v>5.3</v>
      </c>
      <c r="G69" s="14">
        <v>5.3</v>
      </c>
      <c r="H69" s="14">
        <v>5.3</v>
      </c>
      <c r="I69" s="14">
        <v>5.3</v>
      </c>
      <c r="J69" s="14">
        <v>5.3</v>
      </c>
      <c r="K69" s="14">
        <v>5.0</v>
      </c>
      <c r="L69" s="14">
        <v>5.0</v>
      </c>
      <c r="M69" s="15">
        <v>5.3</v>
      </c>
      <c r="N69" s="3"/>
      <c r="O69" s="14">
        <v>5.0</v>
      </c>
      <c r="P69" s="15">
        <v>5.0</v>
      </c>
      <c r="Q69" s="15">
        <v>5.0</v>
      </c>
      <c r="R69" s="15">
        <v>4.2</v>
      </c>
      <c r="S69" s="15">
        <v>4.0</v>
      </c>
      <c r="T69" s="15">
        <v>4.0</v>
      </c>
    </row>
    <row r="70">
      <c r="A70" s="29" t="s">
        <v>146</v>
      </c>
      <c r="B70" s="15">
        <v>1.0</v>
      </c>
      <c r="C70" s="15">
        <v>1.0</v>
      </c>
      <c r="D70" s="15">
        <v>1.0</v>
      </c>
      <c r="E70" s="3"/>
      <c r="F70" s="15">
        <v>0.0</v>
      </c>
      <c r="G70" s="15">
        <v>0.0</v>
      </c>
      <c r="H70" s="15">
        <v>0.0</v>
      </c>
      <c r="I70" s="15">
        <v>0.0</v>
      </c>
      <c r="J70" s="15">
        <v>0.0</v>
      </c>
      <c r="K70" s="15">
        <v>0.0</v>
      </c>
      <c r="L70" s="15">
        <v>0.0</v>
      </c>
      <c r="M70" s="15">
        <v>0.0</v>
      </c>
      <c r="N70" s="3"/>
      <c r="O70" s="15">
        <v>0.0</v>
      </c>
      <c r="P70" s="15">
        <v>0.0</v>
      </c>
      <c r="Q70" s="15">
        <v>0.0</v>
      </c>
      <c r="R70" s="15">
        <v>0.0</v>
      </c>
      <c r="S70" s="15">
        <v>0.0</v>
      </c>
      <c r="T70" s="15">
        <v>0.0</v>
      </c>
    </row>
    <row r="71">
      <c r="A71" s="29" t="s">
        <v>147</v>
      </c>
      <c r="B71" s="15">
        <v>1.0</v>
      </c>
      <c r="C71" s="15">
        <v>1.0</v>
      </c>
      <c r="D71" s="15">
        <v>1.0</v>
      </c>
      <c r="E71" s="3"/>
      <c r="F71" s="15">
        <v>1.0</v>
      </c>
      <c r="G71" s="15">
        <v>1.0</v>
      </c>
      <c r="H71" s="15">
        <v>1.0</v>
      </c>
      <c r="I71" s="15">
        <v>1.0</v>
      </c>
      <c r="J71" s="15">
        <v>1.0</v>
      </c>
      <c r="K71" s="15">
        <v>1.0</v>
      </c>
      <c r="L71" s="15">
        <v>1.0</v>
      </c>
      <c r="M71" s="15">
        <v>1.0</v>
      </c>
      <c r="N71" s="3"/>
      <c r="O71" s="15">
        <v>1.0</v>
      </c>
      <c r="P71" s="15">
        <v>1.0</v>
      </c>
      <c r="Q71" s="15">
        <v>1.0</v>
      </c>
      <c r="R71" s="15">
        <v>1.0</v>
      </c>
      <c r="S71" s="15">
        <v>1.0</v>
      </c>
      <c r="T71" s="15">
        <v>1.0</v>
      </c>
    </row>
    <row r="72">
      <c r="A72" s="29" t="s">
        <v>148</v>
      </c>
      <c r="B72" s="15">
        <v>1.0</v>
      </c>
      <c r="C72" s="15">
        <v>1.0</v>
      </c>
      <c r="D72" s="15">
        <v>1.0</v>
      </c>
      <c r="E72" s="3"/>
      <c r="F72" s="15">
        <v>1.0</v>
      </c>
      <c r="G72" s="15">
        <v>1.0</v>
      </c>
      <c r="H72" s="15">
        <v>1.0</v>
      </c>
      <c r="I72" s="15">
        <v>1.0</v>
      </c>
      <c r="J72" s="15">
        <v>1.0</v>
      </c>
      <c r="K72" s="15">
        <v>1.0</v>
      </c>
      <c r="L72" s="15">
        <v>1.0</v>
      </c>
      <c r="M72" s="15">
        <v>1.0</v>
      </c>
      <c r="N72" s="3"/>
      <c r="O72" s="15">
        <v>1.0</v>
      </c>
      <c r="P72" s="15">
        <v>1.0</v>
      </c>
      <c r="Q72" s="15">
        <v>1.0</v>
      </c>
      <c r="R72" s="15">
        <v>1.0</v>
      </c>
      <c r="S72" s="15">
        <v>1.0</v>
      </c>
      <c r="T72" s="15">
        <v>0.0</v>
      </c>
    </row>
    <row r="73">
      <c r="A73" s="29" t="s">
        <v>149</v>
      </c>
      <c r="B73" s="15">
        <v>1.0</v>
      </c>
      <c r="C73" s="15">
        <v>1.0</v>
      </c>
      <c r="D73" s="15">
        <v>1.0</v>
      </c>
      <c r="E73" s="3"/>
      <c r="F73" s="15">
        <v>1.0</v>
      </c>
      <c r="G73" s="15">
        <v>1.0</v>
      </c>
      <c r="H73" s="15">
        <v>1.0</v>
      </c>
      <c r="I73" s="15">
        <v>1.0</v>
      </c>
      <c r="J73" s="15">
        <v>1.0</v>
      </c>
      <c r="K73" s="15">
        <v>1.0</v>
      </c>
      <c r="L73" s="15">
        <v>1.0</v>
      </c>
      <c r="M73" s="15">
        <v>1.0</v>
      </c>
      <c r="N73" s="3"/>
      <c r="O73" s="15">
        <v>1.0</v>
      </c>
      <c r="P73" s="15">
        <v>1.0</v>
      </c>
      <c r="Q73" s="15">
        <v>0.0</v>
      </c>
      <c r="R73" s="15">
        <v>1.0</v>
      </c>
      <c r="S73" s="15">
        <v>0.0</v>
      </c>
      <c r="T73" s="15">
        <v>0.0</v>
      </c>
    </row>
    <row r="74">
      <c r="A74" s="29" t="s">
        <v>150</v>
      </c>
      <c r="B74" s="15">
        <v>1.0</v>
      </c>
      <c r="C74" s="15">
        <v>1.0</v>
      </c>
      <c r="D74" s="15">
        <v>1.0</v>
      </c>
      <c r="E74" s="3"/>
      <c r="F74" s="15">
        <v>1.0</v>
      </c>
      <c r="G74" s="15">
        <v>1.0</v>
      </c>
      <c r="H74" s="15">
        <v>1.0</v>
      </c>
      <c r="I74" s="15">
        <v>1.0</v>
      </c>
      <c r="J74" s="15">
        <v>1.0</v>
      </c>
      <c r="K74" s="15">
        <v>1.0</v>
      </c>
      <c r="L74" s="15">
        <v>1.0</v>
      </c>
      <c r="M74" s="15">
        <v>1.0</v>
      </c>
      <c r="N74" s="3"/>
      <c r="O74" s="15">
        <v>1.0</v>
      </c>
      <c r="P74" s="15">
        <v>1.0</v>
      </c>
      <c r="Q74" s="15">
        <v>0.0</v>
      </c>
      <c r="R74" s="15">
        <v>1.0</v>
      </c>
      <c r="S74" s="15">
        <v>0.0</v>
      </c>
      <c r="T74" s="15">
        <v>0.0</v>
      </c>
    </row>
    <row r="75">
      <c r="A75" s="29" t="s">
        <v>151</v>
      </c>
      <c r="B75" s="15">
        <v>1.0</v>
      </c>
      <c r="C75" s="15">
        <v>1.0</v>
      </c>
      <c r="D75" s="15">
        <v>1.0</v>
      </c>
      <c r="E75" s="3"/>
      <c r="F75" s="15">
        <v>1.0</v>
      </c>
      <c r="G75" s="15">
        <v>1.0</v>
      </c>
      <c r="H75" s="15">
        <v>1.0</v>
      </c>
      <c r="I75" s="15">
        <v>1.0</v>
      </c>
      <c r="J75" s="15">
        <v>1.0</v>
      </c>
      <c r="K75" s="15">
        <v>1.0</v>
      </c>
      <c r="L75" s="15">
        <v>0.0</v>
      </c>
      <c r="M75" s="15">
        <v>0.0</v>
      </c>
      <c r="N75" s="3"/>
      <c r="O75" s="15">
        <v>0.0</v>
      </c>
      <c r="P75" s="15">
        <v>0.0</v>
      </c>
      <c r="Q75" s="15">
        <v>0.0</v>
      </c>
      <c r="R75" s="15">
        <v>0.0</v>
      </c>
      <c r="S75" s="15">
        <v>0.0</v>
      </c>
      <c r="T75" s="15">
        <v>0.0</v>
      </c>
    </row>
    <row r="76">
      <c r="A76" s="7" t="s">
        <v>152</v>
      </c>
      <c r="B76" s="14">
        <v>1.0</v>
      </c>
      <c r="C76" s="14">
        <v>1.0</v>
      </c>
      <c r="D76" s="14">
        <v>1.0</v>
      </c>
      <c r="E76" s="3"/>
      <c r="F76" s="14">
        <v>1.0</v>
      </c>
      <c r="G76" s="14">
        <v>1.0</v>
      </c>
      <c r="H76" s="14">
        <v>1.0</v>
      </c>
      <c r="I76" s="14">
        <v>1.0</v>
      </c>
      <c r="J76" s="14">
        <v>1.0</v>
      </c>
      <c r="K76" s="14">
        <v>1.0</v>
      </c>
      <c r="L76" s="14">
        <v>1.0</v>
      </c>
      <c r="M76" s="15">
        <v>1.0</v>
      </c>
      <c r="N76" s="3"/>
      <c r="O76" s="15">
        <v>0.0</v>
      </c>
      <c r="P76" s="15">
        <v>0.0</v>
      </c>
      <c r="Q76" s="15">
        <v>0.0</v>
      </c>
      <c r="R76" s="15">
        <v>0.0</v>
      </c>
      <c r="S76" s="15">
        <v>0.0</v>
      </c>
      <c r="T76" s="15">
        <v>0.0</v>
      </c>
    </row>
    <row r="77">
      <c r="A77" s="7" t="s">
        <v>153</v>
      </c>
      <c r="B77" s="18" t="str">
        <f t="shared" ref="B77:C77" si="38">C77</f>
        <v>Always on with range -500m to 9000m</v>
      </c>
      <c r="C77" s="18" t="str">
        <f t="shared" si="38"/>
        <v>Always on with range -500m to 9000m</v>
      </c>
      <c r="D77" s="18" t="s">
        <v>154</v>
      </c>
      <c r="E77" s="3"/>
      <c r="F77" s="30" t="str">
        <f>J77</f>
        <v>Always-on</v>
      </c>
      <c r="G77" s="30" t="str">
        <f>J77</f>
        <v>Always-on</v>
      </c>
      <c r="H77" s="30" t="str">
        <f>J77</f>
        <v>Always-on</v>
      </c>
      <c r="I77" s="30" t="str">
        <f>J77</f>
        <v>Always-on</v>
      </c>
      <c r="J77" s="30" t="s">
        <v>155</v>
      </c>
      <c r="K77" s="14" t="str">
        <f>R77</f>
        <v>Yes</v>
      </c>
      <c r="L77" s="14" t="str">
        <f>R77</f>
        <v>Yes</v>
      </c>
      <c r="M77" s="14" t="str">
        <f>Q77</f>
        <v>Yes</v>
      </c>
      <c r="N77" s="3"/>
      <c r="O77" s="14" t="str">
        <f>R77</f>
        <v>Yes</v>
      </c>
      <c r="P77" s="14" t="str">
        <f>R77</f>
        <v>Yes</v>
      </c>
      <c r="Q77" s="14" t="s">
        <v>140</v>
      </c>
      <c r="R77" s="14" t="s">
        <v>140</v>
      </c>
      <c r="S77" s="12" t="str">
        <f>T77</f>
        <v>N/A</v>
      </c>
      <c r="T77" s="12" t="s">
        <v>36</v>
      </c>
      <c r="U77" s="31"/>
      <c r="V77" s="31"/>
    </row>
    <row r="78">
      <c r="A78" s="29" t="s">
        <v>156</v>
      </c>
      <c r="B78" s="15">
        <v>1.0</v>
      </c>
      <c r="C78" s="15">
        <v>1.0</v>
      </c>
      <c r="D78" s="15">
        <v>1.0</v>
      </c>
      <c r="E78" s="3"/>
      <c r="F78" s="15">
        <v>1.0</v>
      </c>
      <c r="G78" s="15">
        <v>1.0</v>
      </c>
      <c r="H78" s="15">
        <v>1.0</v>
      </c>
      <c r="I78" s="15">
        <v>1.0</v>
      </c>
      <c r="J78" s="15">
        <v>1.0</v>
      </c>
      <c r="K78" s="15">
        <v>1.0</v>
      </c>
      <c r="L78" s="15">
        <v>1.0</v>
      </c>
      <c r="M78" s="15">
        <v>1.0</v>
      </c>
      <c r="N78" s="3"/>
      <c r="O78" s="15">
        <v>1.0</v>
      </c>
      <c r="P78" s="15">
        <v>1.0</v>
      </c>
      <c r="Q78" s="15">
        <v>1.0</v>
      </c>
      <c r="R78" s="15">
        <v>0.0</v>
      </c>
      <c r="S78" s="15">
        <v>0.0</v>
      </c>
      <c r="T78" s="15">
        <v>0.0</v>
      </c>
    </row>
    <row r="79">
      <c r="A79" s="29" t="s">
        <v>157</v>
      </c>
      <c r="B79" s="15">
        <v>1.0</v>
      </c>
      <c r="C79" s="15">
        <v>1.0</v>
      </c>
      <c r="D79" s="15">
        <v>1.0</v>
      </c>
      <c r="E79" s="3"/>
      <c r="F79" s="15">
        <v>1.0</v>
      </c>
      <c r="G79" s="15">
        <v>1.0</v>
      </c>
      <c r="H79" s="15">
        <v>1.0</v>
      </c>
      <c r="I79" s="15">
        <v>1.0</v>
      </c>
      <c r="J79" s="15">
        <v>1.0</v>
      </c>
      <c r="K79" s="15">
        <v>1.0</v>
      </c>
      <c r="L79" s="15">
        <v>1.0</v>
      </c>
      <c r="M79" s="15">
        <v>1.0</v>
      </c>
      <c r="N79" s="3"/>
      <c r="O79" s="15">
        <v>1.0</v>
      </c>
      <c r="P79" s="15">
        <v>1.0</v>
      </c>
      <c r="Q79" s="15">
        <v>1.0</v>
      </c>
      <c r="R79" s="15">
        <v>0.0</v>
      </c>
      <c r="S79" s="15">
        <v>0.0</v>
      </c>
      <c r="T79" s="15">
        <v>0.0</v>
      </c>
    </row>
    <row r="80">
      <c r="A80" s="29" t="s">
        <v>158</v>
      </c>
      <c r="B80" s="15">
        <v>1.0</v>
      </c>
      <c r="C80" s="15">
        <v>1.0</v>
      </c>
      <c r="D80" s="15">
        <v>1.0</v>
      </c>
      <c r="E80" s="3"/>
      <c r="F80" s="15">
        <v>1.0</v>
      </c>
      <c r="G80" s="15">
        <v>1.0</v>
      </c>
      <c r="H80" s="15">
        <v>1.0</v>
      </c>
      <c r="I80" s="15">
        <v>1.0</v>
      </c>
      <c r="J80" s="15">
        <v>1.0</v>
      </c>
      <c r="K80" s="15">
        <v>1.0</v>
      </c>
      <c r="L80" s="15">
        <v>1.0</v>
      </c>
      <c r="M80" s="15">
        <v>1.0</v>
      </c>
      <c r="N80" s="3"/>
      <c r="O80" s="15">
        <v>1.0</v>
      </c>
      <c r="P80" s="15">
        <v>0.0</v>
      </c>
      <c r="Q80" s="15">
        <v>1.0</v>
      </c>
      <c r="R80" s="15">
        <v>0.0</v>
      </c>
      <c r="S80" s="15">
        <v>0.0</v>
      </c>
      <c r="T80" s="15">
        <v>0.0</v>
      </c>
    </row>
    <row r="81">
      <c r="A81" s="29" t="s">
        <v>159</v>
      </c>
      <c r="B81" s="15">
        <v>1.0</v>
      </c>
      <c r="C81" s="15">
        <v>0.0</v>
      </c>
      <c r="D81" s="15">
        <v>0.0</v>
      </c>
      <c r="E81" s="3"/>
      <c r="F81" s="15">
        <v>0.0</v>
      </c>
      <c r="G81" s="15">
        <v>0.0</v>
      </c>
      <c r="H81" s="15">
        <v>0.0</v>
      </c>
      <c r="I81" s="15">
        <v>0.0</v>
      </c>
      <c r="J81" s="15">
        <v>0.0</v>
      </c>
      <c r="K81" s="15">
        <v>0.0</v>
      </c>
      <c r="L81" s="15">
        <v>0.0</v>
      </c>
      <c r="M81" s="15">
        <v>0.0</v>
      </c>
      <c r="N81" s="3"/>
      <c r="O81" s="15">
        <v>0.0</v>
      </c>
      <c r="P81" s="15">
        <v>0.0</v>
      </c>
      <c r="Q81" s="15">
        <v>0.0</v>
      </c>
      <c r="R81" s="15">
        <v>0.0</v>
      </c>
      <c r="S81" s="15">
        <v>0.0</v>
      </c>
      <c r="T81" s="15">
        <v>0.0</v>
      </c>
    </row>
    <row r="82">
      <c r="A82" s="29" t="s">
        <v>160</v>
      </c>
      <c r="B82" s="15">
        <v>1.0</v>
      </c>
      <c r="C82" s="15">
        <v>1.0</v>
      </c>
      <c r="D82" s="15">
        <v>1.0</v>
      </c>
      <c r="E82" s="3"/>
      <c r="F82" s="15">
        <v>1.0</v>
      </c>
      <c r="G82" s="15">
        <v>1.0</v>
      </c>
      <c r="H82" s="15">
        <v>1.0</v>
      </c>
      <c r="I82" s="15">
        <v>1.0</v>
      </c>
      <c r="J82" s="15">
        <v>1.0</v>
      </c>
      <c r="K82" s="15">
        <v>1.0</v>
      </c>
      <c r="L82" s="15">
        <v>1.0</v>
      </c>
      <c r="M82" s="15">
        <v>1.0</v>
      </c>
      <c r="N82" s="3"/>
      <c r="O82" s="15">
        <v>1.0</v>
      </c>
      <c r="P82" s="15">
        <v>1.0</v>
      </c>
      <c r="Q82" s="15">
        <v>1.0</v>
      </c>
      <c r="R82" s="15">
        <v>0.0</v>
      </c>
      <c r="S82" s="15">
        <v>0.0</v>
      </c>
      <c r="T82" s="15">
        <v>0.0</v>
      </c>
    </row>
    <row r="83">
      <c r="A83" s="29" t="s">
        <v>161</v>
      </c>
      <c r="B83" s="15">
        <v>1.0</v>
      </c>
      <c r="C83" s="15">
        <v>1.0</v>
      </c>
      <c r="D83" s="15">
        <v>1.0</v>
      </c>
      <c r="E83" s="3"/>
      <c r="F83" s="15">
        <v>0.0</v>
      </c>
      <c r="G83" s="15">
        <v>0.0</v>
      </c>
      <c r="H83" s="15">
        <v>0.0</v>
      </c>
      <c r="I83" s="15">
        <v>0.0</v>
      </c>
      <c r="J83" s="15">
        <v>0.0</v>
      </c>
      <c r="K83" s="15">
        <v>0.0</v>
      </c>
      <c r="L83" s="15">
        <v>0.0</v>
      </c>
      <c r="M83" s="15">
        <v>0.0</v>
      </c>
      <c r="N83" s="3"/>
      <c r="O83" s="15">
        <v>0.0</v>
      </c>
      <c r="P83" s="15">
        <v>0.0</v>
      </c>
      <c r="Q83" s="15">
        <v>0.0</v>
      </c>
      <c r="R83" s="15">
        <v>0.0</v>
      </c>
      <c r="S83" s="15">
        <v>0.0</v>
      </c>
      <c r="T83" s="15">
        <v>0.0</v>
      </c>
    </row>
    <row r="84">
      <c r="A84" s="32"/>
      <c r="E84" s="3"/>
      <c r="N84" s="3"/>
    </row>
    <row r="85">
      <c r="A85" s="32"/>
      <c r="E85" s="3"/>
      <c r="N85" s="3"/>
    </row>
    <row r="86">
      <c r="A86" s="29" t="s">
        <v>162</v>
      </c>
      <c r="B86" s="15" t="s">
        <v>36</v>
      </c>
      <c r="C86" s="15" t="s">
        <v>36</v>
      </c>
      <c r="D86" s="15" t="s">
        <v>36</v>
      </c>
      <c r="E86" s="3"/>
      <c r="F86" s="20" t="str">
        <f t="shared" ref="F86:H86" si="39">$R$86</f>
        <v>Some color options are specific to the watch with cellular or watch without cellular</v>
      </c>
      <c r="G86" s="20" t="str">
        <f t="shared" si="39"/>
        <v>Some color options are specific to the watch with cellular or watch without cellular</v>
      </c>
      <c r="H86" s="20" t="str">
        <f t="shared" si="39"/>
        <v>Some color options are specific to the watch with cellular or watch without cellular</v>
      </c>
      <c r="I86" s="20" t="s">
        <v>163</v>
      </c>
      <c r="J86" s="20" t="str">
        <f t="shared" ref="J86:L86" si="40">$R$86</f>
        <v>Some color options are specific to the watch with cellular or watch without cellular</v>
      </c>
      <c r="K86" s="20" t="str">
        <f t="shared" si="40"/>
        <v>Some color options are specific to the watch with cellular or watch without cellular</v>
      </c>
      <c r="L86" s="20" t="str">
        <f t="shared" si="40"/>
        <v>Some color options are specific to the watch with cellular or watch without cellular</v>
      </c>
      <c r="M86" s="15" t="s">
        <v>36</v>
      </c>
      <c r="N86" s="3"/>
      <c r="O86" s="20" t="str">
        <f t="shared" ref="O86:P86" si="41">$R$86</f>
        <v>Some color options are specific to the watch with cellular or watch without cellular</v>
      </c>
      <c r="P86" s="20" t="str">
        <f t="shared" si="41"/>
        <v>Some color options are specific to the watch with cellular or watch without cellular</v>
      </c>
      <c r="Q86" s="15" t="s">
        <v>36</v>
      </c>
      <c r="R86" s="20" t="s">
        <v>164</v>
      </c>
      <c r="S86" s="15" t="s">
        <v>36</v>
      </c>
      <c r="T86" s="15" t="s">
        <v>36</v>
      </c>
    </row>
    <row r="87">
      <c r="A87" s="32"/>
      <c r="E87" s="3"/>
      <c r="N87" s="3"/>
    </row>
    <row r="88">
      <c r="A88" s="32"/>
      <c r="E88" s="3"/>
      <c r="F88" s="20"/>
      <c r="N88" s="3"/>
    </row>
    <row r="89">
      <c r="A89" s="32"/>
      <c r="E89" s="3"/>
      <c r="F89" s="20"/>
      <c r="N89" s="3"/>
    </row>
    <row r="90">
      <c r="A90" s="32"/>
      <c r="E90" s="3"/>
      <c r="H90" s="33" t="s">
        <v>165</v>
      </c>
      <c r="I90" s="34"/>
      <c r="J90" s="34"/>
      <c r="K90" s="35"/>
      <c r="N90" s="3"/>
    </row>
    <row r="91">
      <c r="A91" s="32"/>
      <c r="E91" s="3"/>
      <c r="H91" s="36" t="s">
        <v>166</v>
      </c>
      <c r="I91" s="37"/>
      <c r="J91" s="37"/>
      <c r="K91" s="38"/>
      <c r="N91" s="3"/>
    </row>
    <row r="92">
      <c r="A92" s="32"/>
      <c r="E92" s="3"/>
      <c r="H92" s="39" t="s">
        <v>167</v>
      </c>
      <c r="I92" s="37"/>
      <c r="J92" s="37"/>
      <c r="K92" s="38"/>
      <c r="N92" s="3"/>
    </row>
    <row r="93">
      <c r="A93" s="32"/>
      <c r="E93" s="3"/>
      <c r="H93" s="40" t="s">
        <v>168</v>
      </c>
      <c r="I93" s="37"/>
      <c r="J93" s="37"/>
      <c r="K93" s="38"/>
      <c r="N93" s="3"/>
    </row>
    <row r="94">
      <c r="A94" s="32"/>
      <c r="E94" s="3"/>
      <c r="H94" s="40" t="s">
        <v>169</v>
      </c>
      <c r="I94" s="37"/>
      <c r="J94" s="37"/>
      <c r="K94" s="38"/>
      <c r="N94" s="3"/>
    </row>
    <row r="95">
      <c r="A95" s="32"/>
      <c r="E95" s="3"/>
      <c r="H95" s="41" t="s">
        <v>170</v>
      </c>
      <c r="I95" s="37"/>
      <c r="J95" s="37"/>
      <c r="K95" s="38"/>
      <c r="N95" s="3"/>
    </row>
    <row r="96">
      <c r="A96" s="32"/>
      <c r="E96" s="3"/>
      <c r="H96" s="42" t="s">
        <v>171</v>
      </c>
      <c r="I96" s="43"/>
      <c r="J96" s="43"/>
      <c r="K96" s="44"/>
      <c r="N96" s="3"/>
    </row>
    <row r="97">
      <c r="A97" s="32"/>
      <c r="E97" s="3"/>
      <c r="H97" s="45"/>
      <c r="I97" s="45"/>
      <c r="J97" s="45"/>
      <c r="K97" s="45"/>
      <c r="L97" s="45"/>
      <c r="M97" s="45"/>
      <c r="N97" s="3"/>
    </row>
  </sheetData>
  <conditionalFormatting sqref="B30:M30 O30:T3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31:M31 O31:T3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32:M34 O32:T34 N34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1:N97 B15:M15 O15:T15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39:T39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45:T45">
    <cfRule type="colorScale" priority="6">
      <colorScale>
        <cfvo type="min"/>
        <cfvo type="max"/>
        <color rgb="FFFFFFFF"/>
        <color rgb="FF57BB8A"/>
      </colorScale>
    </cfRule>
  </conditionalFormatting>
  <conditionalFormatting sqref="B44:T44">
    <cfRule type="colorScale" priority="7">
      <colorScale>
        <cfvo type="min"/>
        <cfvo type="max"/>
        <color rgb="FFFFFFFF"/>
        <color rgb="FF57BB8A"/>
      </colorScale>
    </cfRule>
  </conditionalFormatting>
  <conditionalFormatting sqref="B43:T43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46:T46">
    <cfRule type="colorScale" priority="9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B54:T54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52:T52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60:T60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65:T65">
    <cfRule type="colorScale" priority="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67:T67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78:T83">
    <cfRule type="colorScale" priority="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2:M2 O2:U2 N29">
    <cfRule type="colorScale" priority="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35:T35">
    <cfRule type="colorScale" priority="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1:N97 B14:M14 O14:T14">
    <cfRule type="colorScale" priority="1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63:T63">
    <cfRule type="colorScale" priority="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76:T76">
    <cfRule type="colorScale" priority="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51:T51">
    <cfRule type="colorScale" priority="2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11:M11 O11:T11">
    <cfRule type="colorScale" priority="2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70:T75">
    <cfRule type="colorScale" priority="2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69:T69">
    <cfRule type="colorScale" priority="2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40:U40">
    <cfRule type="colorScale" priority="2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41:T41">
    <cfRule type="colorScale" priority="2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4:M5 O4:T5 N29:N32">
    <cfRule type="colorScale" priority="27">
      <colorScale>
        <cfvo type="min"/>
        <cfvo type="max"/>
        <color rgb="FFFFFFFF"/>
        <color rgb="FF57BB8A"/>
      </colorScale>
    </cfRule>
  </conditionalFormatting>
  <conditionalFormatting sqref="B13:T13">
    <cfRule type="colorScale" priority="2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68:D68 F68:M68 O68:T68">
    <cfRule type="colorScale" priority="2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56:T58">
    <cfRule type="colorScale" priority="3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55:T55">
    <cfRule type="colorScale" priority="31">
      <colorScale>
        <cfvo type="min"/>
        <cfvo type="max"/>
        <color rgb="FFFFFFFF"/>
        <color rgb="FF57BB8A"/>
      </colorScale>
    </cfRule>
  </conditionalFormatting>
  <conditionalFormatting sqref="B59:T59">
    <cfRule type="colorScale" priority="32">
      <colorScale>
        <cfvo type="min"/>
        <cfvo type="max"/>
        <color rgb="FFFFFFFF"/>
        <color rgb="FF57BB8A"/>
      </colorScale>
    </cfRule>
  </conditionalFormatting>
  <conditionalFormatting sqref="B61:T61">
    <cfRule type="colorScale" priority="3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18:T21">
    <cfRule type="colorScale" priority="3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23:T29">
    <cfRule type="colorScale" priority="3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22:T22">
    <cfRule type="colorScale" priority="3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9:T9">
    <cfRule type="colorScale" priority="3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8:T8">
    <cfRule type="colorScale" priority="3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6:T6">
    <cfRule type="colorScale" priority="3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7:T7">
    <cfRule type="colorScale" priority="4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hyperlinks>
    <hyperlink r:id="rId2" ref="B1"/>
    <hyperlink r:id="rId3" ref="C1"/>
    <hyperlink r:id="rId4" ref="D1"/>
    <hyperlink r:id="rId5" ref="F1"/>
    <hyperlink r:id="rId6" ref="G1"/>
    <hyperlink r:id="rId7" ref="H1"/>
    <hyperlink r:id="rId8" ref="I1"/>
    <hyperlink r:id="rId9" ref="J1"/>
    <hyperlink r:id="rId10" ref="K1"/>
    <hyperlink r:id="rId11" ref="L1"/>
    <hyperlink r:id="rId12" ref="M1"/>
    <hyperlink r:id="rId13" ref="O1"/>
    <hyperlink r:id="rId14" ref="P1"/>
    <hyperlink r:id="rId15" ref="Q1"/>
    <hyperlink r:id="rId16" location="Collections_and_materials" ref="A17"/>
    <hyperlink r:id="rId17" ref="A40"/>
    <hyperlink r:id="rId18" ref="H92"/>
    <hyperlink r:id="rId19" ref="H93"/>
    <hyperlink r:id="rId20" ref="H94"/>
    <hyperlink r:id="rId21" ref="H95"/>
    <hyperlink r:id="rId22" ref="H96"/>
  </hyperlinks>
  <drawing r:id="rId23"/>
  <legacyDrawing r:id="rId24"/>
</worksheet>
</file>